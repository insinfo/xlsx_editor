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X:\GOVTIC - ADMINISTRATIVO\TERMOS DE REFERENCIA\SERVIÇO\SISTEMA GESTÃO PÚBLICA\"/>
    </mc:Choice>
  </mc:AlternateContent>
  <xr:revisionPtr revIDLastSave="0" documentId="13_ncr:1_{F7494CBB-1A28-43A7-B10C-622566D59FD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MÉDIA" sheetId="1" r:id="rId1"/>
    <sheet name="Composições" sheetId="2" r:id="rId2"/>
  </sheets>
  <definedNames>
    <definedName name="_xlnm.Print_Area" localSheetId="0">MÉDIA!$A$1:$P$288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54" i="1" l="1"/>
  <c r="R253" i="1"/>
  <c r="R252" i="1"/>
  <c r="R251" i="1"/>
  <c r="R57" i="1"/>
  <c r="R56" i="1"/>
  <c r="R55" i="1"/>
  <c r="R54" i="1"/>
  <c r="R121" i="1"/>
  <c r="R122" i="1"/>
  <c r="R123" i="1"/>
  <c r="R124" i="1"/>
  <c r="R190" i="1"/>
  <c r="R189" i="1"/>
  <c r="R188" i="1"/>
  <c r="R187" i="1"/>
  <c r="E262" i="1"/>
  <c r="E72" i="1"/>
  <c r="F72" i="1" s="1"/>
  <c r="D98" i="2"/>
  <c r="D86" i="2"/>
  <c r="D69" i="2"/>
  <c r="D57" i="2"/>
  <c r="D25" i="2"/>
  <c r="D276" i="1"/>
  <c r="E277" i="1"/>
  <c r="E283" i="1"/>
  <c r="E284" i="1"/>
  <c r="E285" i="1"/>
  <c r="E286" i="1"/>
  <c r="F286" i="1"/>
  <c r="G286" i="1" s="1"/>
  <c r="H286" i="1" s="1"/>
  <c r="I286" i="1" s="1"/>
  <c r="F285" i="1"/>
  <c r="G285" i="1" s="1"/>
  <c r="H285" i="1" s="1"/>
  <c r="I285" i="1" s="1"/>
  <c r="F284" i="1"/>
  <c r="G284" i="1" s="1"/>
  <c r="H284" i="1" s="1"/>
  <c r="F283" i="1"/>
  <c r="G283" i="1" s="1"/>
  <c r="H283" i="1" s="1"/>
  <c r="I283" i="1" s="1"/>
  <c r="F277" i="1"/>
  <c r="G277" i="1" s="1"/>
  <c r="H277" i="1" s="1"/>
  <c r="F273" i="1"/>
  <c r="G273" i="1" s="1"/>
  <c r="H273" i="1" s="1"/>
  <c r="I273" i="1" s="1"/>
  <c r="J273" i="1" s="1"/>
  <c r="K273" i="1" s="1"/>
  <c r="E273" i="1"/>
  <c r="E249" i="1"/>
  <c r="E254" i="1"/>
  <c r="F254" i="1" s="1"/>
  <c r="G254" i="1" s="1"/>
  <c r="H254" i="1" s="1"/>
  <c r="E248" i="1"/>
  <c r="F248" i="1" s="1"/>
  <c r="G248" i="1" s="1"/>
  <c r="H248" i="1" s="1"/>
  <c r="E250" i="1"/>
  <c r="E251" i="1"/>
  <c r="F251" i="1" s="1"/>
  <c r="G251" i="1" s="1"/>
  <c r="H251" i="1" s="1"/>
  <c r="E252" i="1"/>
  <c r="F252" i="1" s="1"/>
  <c r="G252" i="1" s="1"/>
  <c r="H252" i="1" s="1"/>
  <c r="E253" i="1"/>
  <c r="F253" i="1" s="1"/>
  <c r="G253" i="1" s="1"/>
  <c r="H253" i="1" s="1"/>
  <c r="E255" i="1"/>
  <c r="F255" i="1" s="1"/>
  <c r="G255" i="1" s="1"/>
  <c r="H255" i="1" s="1"/>
  <c r="E256" i="1"/>
  <c r="E257" i="1"/>
  <c r="E258" i="1"/>
  <c r="E259" i="1"/>
  <c r="E247" i="1"/>
  <c r="E246" i="1"/>
  <c r="E228" i="1"/>
  <c r="F228" i="1" s="1"/>
  <c r="G228" i="1" s="1"/>
  <c r="H228" i="1" s="1"/>
  <c r="I228" i="1" s="1"/>
  <c r="E229" i="1"/>
  <c r="E230" i="1"/>
  <c r="E231" i="1"/>
  <c r="F231" i="1" s="1"/>
  <c r="G231" i="1" s="1"/>
  <c r="H231" i="1" s="1"/>
  <c r="E232" i="1"/>
  <c r="F232" i="1" s="1"/>
  <c r="G232" i="1" s="1"/>
  <c r="H232" i="1" s="1"/>
  <c r="E233" i="1"/>
  <c r="F233" i="1" s="1"/>
  <c r="G233" i="1" s="1"/>
  <c r="H233" i="1" s="1"/>
  <c r="E234" i="1"/>
  <c r="F234" i="1" s="1"/>
  <c r="G234" i="1" s="1"/>
  <c r="H234" i="1" s="1"/>
  <c r="E235" i="1"/>
  <c r="F235" i="1" s="1"/>
  <c r="G235" i="1" s="1"/>
  <c r="H235" i="1" s="1"/>
  <c r="E236" i="1"/>
  <c r="E237" i="1"/>
  <c r="E238" i="1"/>
  <c r="E239" i="1"/>
  <c r="E227" i="1"/>
  <c r="F227" i="1" s="1"/>
  <c r="G227" i="1" s="1"/>
  <c r="H227" i="1" s="1"/>
  <c r="E226" i="1"/>
  <c r="E214" i="1"/>
  <c r="F214" i="1" s="1"/>
  <c r="G214" i="1" s="1"/>
  <c r="H214" i="1" s="1"/>
  <c r="E218" i="1"/>
  <c r="E207" i="1"/>
  <c r="F207" i="1" s="1"/>
  <c r="G207" i="1" s="1"/>
  <c r="H207" i="1" s="1"/>
  <c r="I207" i="1" s="1"/>
  <c r="E208" i="1"/>
  <c r="E209" i="1"/>
  <c r="E210" i="1"/>
  <c r="F210" i="1" s="1"/>
  <c r="G210" i="1" s="1"/>
  <c r="H210" i="1" s="1"/>
  <c r="E211" i="1"/>
  <c r="F211" i="1" s="1"/>
  <c r="G211" i="1" s="1"/>
  <c r="H211" i="1" s="1"/>
  <c r="E212" i="1"/>
  <c r="F212" i="1" s="1"/>
  <c r="G212" i="1" s="1"/>
  <c r="H212" i="1" s="1"/>
  <c r="E213" i="1"/>
  <c r="F213" i="1" s="1"/>
  <c r="G213" i="1" s="1"/>
  <c r="H213" i="1" s="1"/>
  <c r="E215" i="1"/>
  <c r="E216" i="1"/>
  <c r="E217" i="1"/>
  <c r="E206" i="1"/>
  <c r="F206" i="1" s="1"/>
  <c r="G206" i="1" s="1"/>
  <c r="H206" i="1" s="1"/>
  <c r="I206" i="1" s="1"/>
  <c r="E205" i="1"/>
  <c r="E192" i="1"/>
  <c r="E184" i="1"/>
  <c r="F184" i="1" s="1"/>
  <c r="G184" i="1" s="1"/>
  <c r="H184" i="1" s="1"/>
  <c r="E185" i="1"/>
  <c r="E186" i="1"/>
  <c r="E187" i="1"/>
  <c r="F187" i="1" s="1"/>
  <c r="G187" i="1" s="1"/>
  <c r="H187" i="1" s="1"/>
  <c r="E188" i="1"/>
  <c r="F188" i="1" s="1"/>
  <c r="G188" i="1" s="1"/>
  <c r="H188" i="1" s="1"/>
  <c r="E189" i="1"/>
  <c r="F189" i="1" s="1"/>
  <c r="G189" i="1" s="1"/>
  <c r="H189" i="1" s="1"/>
  <c r="E190" i="1"/>
  <c r="F190" i="1" s="1"/>
  <c r="G190" i="1" s="1"/>
  <c r="H190" i="1" s="1"/>
  <c r="E191" i="1"/>
  <c r="F191" i="1" s="1"/>
  <c r="G191" i="1" s="1"/>
  <c r="H191" i="1" s="1"/>
  <c r="E193" i="1"/>
  <c r="E194" i="1"/>
  <c r="E195" i="1"/>
  <c r="E183" i="1"/>
  <c r="E182" i="1"/>
  <c r="E172" i="1"/>
  <c r="E163" i="1"/>
  <c r="F163" i="1" s="1"/>
  <c r="G163" i="1" s="1"/>
  <c r="H163" i="1" s="1"/>
  <c r="E164" i="1"/>
  <c r="E165" i="1"/>
  <c r="E166" i="1"/>
  <c r="F166" i="1" s="1"/>
  <c r="G166" i="1" s="1"/>
  <c r="H166" i="1" s="1"/>
  <c r="E167" i="1"/>
  <c r="F167" i="1" s="1"/>
  <c r="G167" i="1" s="1"/>
  <c r="H167" i="1" s="1"/>
  <c r="E168" i="1"/>
  <c r="F168" i="1" s="1"/>
  <c r="G168" i="1" s="1"/>
  <c r="H168" i="1" s="1"/>
  <c r="E169" i="1"/>
  <c r="F169" i="1" s="1"/>
  <c r="G169" i="1" s="1"/>
  <c r="H169" i="1" s="1"/>
  <c r="E170" i="1"/>
  <c r="E171" i="1"/>
  <c r="E173" i="1"/>
  <c r="E174" i="1"/>
  <c r="E162" i="1"/>
  <c r="F162" i="1" s="1"/>
  <c r="G162" i="1" s="1"/>
  <c r="H162" i="1" s="1"/>
  <c r="E161" i="1"/>
  <c r="E148" i="1"/>
  <c r="F148" i="1" s="1"/>
  <c r="G148" i="1" s="1"/>
  <c r="H148" i="1" s="1"/>
  <c r="E142" i="1"/>
  <c r="F142" i="1" s="1"/>
  <c r="G142" i="1" s="1"/>
  <c r="H142" i="1" s="1"/>
  <c r="I142" i="1" s="1"/>
  <c r="E143" i="1"/>
  <c r="E144" i="1"/>
  <c r="E145" i="1"/>
  <c r="F145" i="1" s="1"/>
  <c r="G145" i="1" s="1"/>
  <c r="H145" i="1" s="1"/>
  <c r="E146" i="1"/>
  <c r="F146" i="1" s="1"/>
  <c r="G146" i="1" s="1"/>
  <c r="H146" i="1" s="1"/>
  <c r="E147" i="1"/>
  <c r="F147" i="1" s="1"/>
  <c r="G147" i="1" s="1"/>
  <c r="H147" i="1" s="1"/>
  <c r="E149" i="1"/>
  <c r="F149" i="1" s="1"/>
  <c r="G149" i="1" s="1"/>
  <c r="H149" i="1" s="1"/>
  <c r="E150" i="1"/>
  <c r="E151" i="1"/>
  <c r="E152" i="1"/>
  <c r="E153" i="1"/>
  <c r="E141" i="1"/>
  <c r="F141" i="1" s="1"/>
  <c r="G141" i="1" s="1"/>
  <c r="H141" i="1" s="1"/>
  <c r="E140" i="1"/>
  <c r="E126" i="1"/>
  <c r="E117" i="1"/>
  <c r="F117" i="1" s="1"/>
  <c r="G117" i="1" s="1"/>
  <c r="H117" i="1" s="1"/>
  <c r="E118" i="1"/>
  <c r="E119" i="1"/>
  <c r="E120" i="1"/>
  <c r="F120" i="1" s="1"/>
  <c r="G120" i="1" s="1"/>
  <c r="H120" i="1" s="1"/>
  <c r="E121" i="1"/>
  <c r="F121" i="1" s="1"/>
  <c r="G121" i="1" s="1"/>
  <c r="H121" i="1" s="1"/>
  <c r="E122" i="1"/>
  <c r="F122" i="1" s="1"/>
  <c r="G122" i="1" s="1"/>
  <c r="H122" i="1" s="1"/>
  <c r="E123" i="1"/>
  <c r="F123" i="1" s="1"/>
  <c r="G123" i="1" s="1"/>
  <c r="H123" i="1" s="1"/>
  <c r="E124" i="1"/>
  <c r="F124" i="1" s="1"/>
  <c r="G124" i="1" s="1"/>
  <c r="H124" i="1" s="1"/>
  <c r="E125" i="1"/>
  <c r="E127" i="1"/>
  <c r="E128" i="1"/>
  <c r="E116" i="1"/>
  <c r="E115" i="1"/>
  <c r="E99" i="1"/>
  <c r="F99" i="1" s="1"/>
  <c r="G99" i="1" s="1"/>
  <c r="H99" i="1" s="1"/>
  <c r="E94" i="1"/>
  <c r="F94" i="1" s="1"/>
  <c r="G94" i="1" s="1"/>
  <c r="H94" i="1" s="1"/>
  <c r="I94" i="1" s="1"/>
  <c r="E95" i="1"/>
  <c r="E96" i="1"/>
  <c r="E97" i="1"/>
  <c r="F97" i="1" s="1"/>
  <c r="G97" i="1" s="1"/>
  <c r="H97" i="1" s="1"/>
  <c r="E98" i="1"/>
  <c r="F98" i="1" s="1"/>
  <c r="G98" i="1" s="1"/>
  <c r="H98" i="1" s="1"/>
  <c r="E100" i="1"/>
  <c r="F100" i="1" s="1"/>
  <c r="G100" i="1" s="1"/>
  <c r="H100" i="1" s="1"/>
  <c r="E101" i="1"/>
  <c r="F101" i="1" s="1"/>
  <c r="G101" i="1" s="1"/>
  <c r="H101" i="1" s="1"/>
  <c r="E102" i="1"/>
  <c r="E103" i="1"/>
  <c r="E104" i="1"/>
  <c r="E105" i="1"/>
  <c r="E93" i="1"/>
  <c r="F93" i="1" s="1"/>
  <c r="G93" i="1" s="1"/>
  <c r="H93" i="1" s="1"/>
  <c r="E92" i="1"/>
  <c r="E78" i="1"/>
  <c r="F78" i="1" s="1"/>
  <c r="G78" i="1" s="1"/>
  <c r="H78" i="1" s="1"/>
  <c r="E71" i="1"/>
  <c r="E84" i="1"/>
  <c r="E73" i="1"/>
  <c r="F73" i="1" s="1"/>
  <c r="G73" i="1" s="1"/>
  <c r="H73" i="1" s="1"/>
  <c r="I73" i="1" s="1"/>
  <c r="E74" i="1"/>
  <c r="E75" i="1"/>
  <c r="E76" i="1"/>
  <c r="F76" i="1" s="1"/>
  <c r="G76" i="1" s="1"/>
  <c r="H76" i="1" s="1"/>
  <c r="E77" i="1"/>
  <c r="F77" i="1" s="1"/>
  <c r="G77" i="1" s="1"/>
  <c r="H77" i="1" s="1"/>
  <c r="E79" i="1"/>
  <c r="F79" i="1" s="1"/>
  <c r="G79" i="1" s="1"/>
  <c r="H79" i="1" s="1"/>
  <c r="E80" i="1"/>
  <c r="F80" i="1" s="1"/>
  <c r="G80" i="1" s="1"/>
  <c r="H80" i="1" s="1"/>
  <c r="E81" i="1"/>
  <c r="E82" i="1"/>
  <c r="E83" i="1"/>
  <c r="E56" i="1"/>
  <c r="E38" i="1"/>
  <c r="F259" i="1"/>
  <c r="G259" i="1" s="1"/>
  <c r="H259" i="1" s="1"/>
  <c r="I259" i="1" s="1"/>
  <c r="F258" i="1"/>
  <c r="G258" i="1" s="1"/>
  <c r="H258" i="1" s="1"/>
  <c r="I258" i="1" s="1"/>
  <c r="F257" i="1"/>
  <c r="G257" i="1" s="1"/>
  <c r="H257" i="1" s="1"/>
  <c r="I257" i="1" s="1"/>
  <c r="F256" i="1"/>
  <c r="G256" i="1" s="1"/>
  <c r="H256" i="1" s="1"/>
  <c r="F250" i="1"/>
  <c r="G250" i="1" s="1"/>
  <c r="H250" i="1" s="1"/>
  <c r="I250" i="1" s="1"/>
  <c r="F249" i="1"/>
  <c r="G249" i="1" s="1"/>
  <c r="H249" i="1" s="1"/>
  <c r="I249" i="1" s="1"/>
  <c r="F247" i="1"/>
  <c r="G247" i="1" s="1"/>
  <c r="H247" i="1" s="1"/>
  <c r="I247" i="1" s="1"/>
  <c r="F246" i="1"/>
  <c r="G246" i="1" s="1"/>
  <c r="H246" i="1" s="1"/>
  <c r="I246" i="1" s="1"/>
  <c r="F239" i="1"/>
  <c r="G239" i="1" s="1"/>
  <c r="H239" i="1" s="1"/>
  <c r="I239" i="1" s="1"/>
  <c r="F238" i="1"/>
  <c r="G238" i="1" s="1"/>
  <c r="H238" i="1" s="1"/>
  <c r="F237" i="1"/>
  <c r="G237" i="1" s="1"/>
  <c r="H237" i="1" s="1"/>
  <c r="F236" i="1"/>
  <c r="G236" i="1" s="1"/>
  <c r="H236" i="1" s="1"/>
  <c r="I236" i="1" s="1"/>
  <c r="F230" i="1"/>
  <c r="G230" i="1" s="1"/>
  <c r="H230" i="1" s="1"/>
  <c r="I230" i="1" s="1"/>
  <c r="F229" i="1"/>
  <c r="G229" i="1" s="1"/>
  <c r="H229" i="1" s="1"/>
  <c r="I229" i="1" s="1"/>
  <c r="F226" i="1"/>
  <c r="G226" i="1" s="1"/>
  <c r="H226" i="1" s="1"/>
  <c r="I226" i="1" s="1"/>
  <c r="F218" i="1"/>
  <c r="G218" i="1" s="1"/>
  <c r="H218" i="1" s="1"/>
  <c r="I218" i="1" s="1"/>
  <c r="F217" i="1"/>
  <c r="G217" i="1" s="1"/>
  <c r="H217" i="1" s="1"/>
  <c r="I217" i="1" s="1"/>
  <c r="F216" i="1"/>
  <c r="G216" i="1" s="1"/>
  <c r="H216" i="1" s="1"/>
  <c r="F215" i="1"/>
  <c r="G215" i="1" s="1"/>
  <c r="H215" i="1" s="1"/>
  <c r="I215" i="1" s="1"/>
  <c r="F209" i="1"/>
  <c r="G209" i="1" s="1"/>
  <c r="H209" i="1" s="1"/>
  <c r="I209" i="1" s="1"/>
  <c r="F208" i="1"/>
  <c r="G208" i="1" s="1"/>
  <c r="H208" i="1" s="1"/>
  <c r="I208" i="1" s="1"/>
  <c r="F205" i="1"/>
  <c r="G205" i="1" s="1"/>
  <c r="H205" i="1" s="1"/>
  <c r="I205" i="1" s="1"/>
  <c r="F195" i="1"/>
  <c r="G195" i="1" s="1"/>
  <c r="H195" i="1" s="1"/>
  <c r="I195" i="1" s="1"/>
  <c r="F194" i="1"/>
  <c r="G194" i="1" s="1"/>
  <c r="H194" i="1" s="1"/>
  <c r="I194" i="1" s="1"/>
  <c r="F193" i="1"/>
  <c r="G193" i="1" s="1"/>
  <c r="H193" i="1" s="1"/>
  <c r="I193" i="1" s="1"/>
  <c r="F192" i="1"/>
  <c r="G192" i="1" s="1"/>
  <c r="H192" i="1" s="1"/>
  <c r="I192" i="1" s="1"/>
  <c r="F186" i="1"/>
  <c r="G186" i="1" s="1"/>
  <c r="H186" i="1" s="1"/>
  <c r="F185" i="1"/>
  <c r="G185" i="1" s="1"/>
  <c r="H185" i="1" s="1"/>
  <c r="I185" i="1" s="1"/>
  <c r="F183" i="1"/>
  <c r="G183" i="1" s="1"/>
  <c r="H183" i="1" s="1"/>
  <c r="F182" i="1"/>
  <c r="G182" i="1" s="1"/>
  <c r="H182" i="1" s="1"/>
  <c r="F174" i="1"/>
  <c r="G174" i="1" s="1"/>
  <c r="H174" i="1" s="1"/>
  <c r="F173" i="1"/>
  <c r="G173" i="1" s="1"/>
  <c r="H173" i="1" s="1"/>
  <c r="F172" i="1"/>
  <c r="G172" i="1" s="1"/>
  <c r="H172" i="1" s="1"/>
  <c r="F171" i="1"/>
  <c r="G171" i="1" s="1"/>
  <c r="H171" i="1" s="1"/>
  <c r="F170" i="1"/>
  <c r="G170" i="1" s="1"/>
  <c r="H170" i="1" s="1"/>
  <c r="F165" i="1"/>
  <c r="G165" i="1" s="1"/>
  <c r="H165" i="1" s="1"/>
  <c r="I165" i="1" s="1"/>
  <c r="F164" i="1"/>
  <c r="G164" i="1" s="1"/>
  <c r="H164" i="1" s="1"/>
  <c r="F161" i="1"/>
  <c r="G161" i="1" s="1"/>
  <c r="H161" i="1" s="1"/>
  <c r="F153" i="1"/>
  <c r="G153" i="1" s="1"/>
  <c r="H153" i="1" s="1"/>
  <c r="I153" i="1" s="1"/>
  <c r="F152" i="1"/>
  <c r="G152" i="1" s="1"/>
  <c r="H152" i="1" s="1"/>
  <c r="I152" i="1" s="1"/>
  <c r="F151" i="1"/>
  <c r="G151" i="1" s="1"/>
  <c r="H151" i="1" s="1"/>
  <c r="I151" i="1" s="1"/>
  <c r="F150" i="1"/>
  <c r="G150" i="1" s="1"/>
  <c r="H150" i="1" s="1"/>
  <c r="I150" i="1" s="1"/>
  <c r="F144" i="1"/>
  <c r="G144" i="1" s="1"/>
  <c r="H144" i="1" s="1"/>
  <c r="I144" i="1" s="1"/>
  <c r="F143" i="1"/>
  <c r="G143" i="1" s="1"/>
  <c r="H143" i="1" s="1"/>
  <c r="I143" i="1" s="1"/>
  <c r="F140" i="1"/>
  <c r="G140" i="1" s="1"/>
  <c r="H140" i="1" s="1"/>
  <c r="I140" i="1" s="1"/>
  <c r="F128" i="1"/>
  <c r="G128" i="1" s="1"/>
  <c r="H128" i="1" s="1"/>
  <c r="F127" i="1"/>
  <c r="G127" i="1" s="1"/>
  <c r="H127" i="1" s="1"/>
  <c r="I127" i="1" s="1"/>
  <c r="F126" i="1"/>
  <c r="G126" i="1" s="1"/>
  <c r="H126" i="1" s="1"/>
  <c r="I126" i="1" s="1"/>
  <c r="F125" i="1"/>
  <c r="G125" i="1" s="1"/>
  <c r="H125" i="1" s="1"/>
  <c r="I125" i="1" s="1"/>
  <c r="F119" i="1"/>
  <c r="G119" i="1" s="1"/>
  <c r="H119" i="1" s="1"/>
  <c r="I119" i="1" s="1"/>
  <c r="F118" i="1"/>
  <c r="G118" i="1" s="1"/>
  <c r="H118" i="1" s="1"/>
  <c r="I118" i="1" s="1"/>
  <c r="F116" i="1"/>
  <c r="G116" i="1" s="1"/>
  <c r="H116" i="1" s="1"/>
  <c r="F115" i="1"/>
  <c r="G115" i="1" s="1"/>
  <c r="H115" i="1" s="1"/>
  <c r="I115" i="1" s="1"/>
  <c r="F105" i="1"/>
  <c r="G105" i="1" s="1"/>
  <c r="H105" i="1" s="1"/>
  <c r="F104" i="1"/>
  <c r="G104" i="1" s="1"/>
  <c r="H104" i="1" s="1"/>
  <c r="F103" i="1"/>
  <c r="G103" i="1" s="1"/>
  <c r="H103" i="1" s="1"/>
  <c r="F102" i="1"/>
  <c r="G102" i="1" s="1"/>
  <c r="H102" i="1" s="1"/>
  <c r="F96" i="1"/>
  <c r="G96" i="1" s="1"/>
  <c r="H96" i="1" s="1"/>
  <c r="I96" i="1" s="1"/>
  <c r="F95" i="1"/>
  <c r="G95" i="1" s="1"/>
  <c r="H95" i="1" s="1"/>
  <c r="I95" i="1" s="1"/>
  <c r="F92" i="1"/>
  <c r="G92" i="1" s="1"/>
  <c r="H92" i="1" s="1"/>
  <c r="I92" i="1" s="1"/>
  <c r="F84" i="1"/>
  <c r="G84" i="1" s="1"/>
  <c r="H84" i="1" s="1"/>
  <c r="I84" i="1" s="1"/>
  <c r="F83" i="1"/>
  <c r="G83" i="1" s="1"/>
  <c r="H83" i="1" s="1"/>
  <c r="I83" i="1" s="1"/>
  <c r="F82" i="1"/>
  <c r="G82" i="1" s="1"/>
  <c r="H82" i="1" s="1"/>
  <c r="I82" i="1" s="1"/>
  <c r="F81" i="1"/>
  <c r="G81" i="1" s="1"/>
  <c r="H81" i="1" s="1"/>
  <c r="I81" i="1" s="1"/>
  <c r="F75" i="1"/>
  <c r="G75" i="1" s="1"/>
  <c r="H75" i="1" s="1"/>
  <c r="I75" i="1" s="1"/>
  <c r="F74" i="1"/>
  <c r="G74" i="1" s="1"/>
  <c r="H74" i="1" s="1"/>
  <c r="I74" i="1" s="1"/>
  <c r="F71" i="1"/>
  <c r="G71" i="1" s="1"/>
  <c r="H71" i="1" s="1"/>
  <c r="I71" i="1" s="1"/>
  <c r="E33" i="1"/>
  <c r="E30" i="1"/>
  <c r="F30" i="1" s="1"/>
  <c r="G30" i="1" s="1"/>
  <c r="H30" i="1" s="1"/>
  <c r="E8" i="1"/>
  <c r="F8" i="1" s="1"/>
  <c r="G8" i="1" s="1"/>
  <c r="H8" i="1" s="1"/>
  <c r="E50" i="1"/>
  <c r="E49" i="1"/>
  <c r="E53" i="1"/>
  <c r="E54" i="1"/>
  <c r="E13" i="1"/>
  <c r="E29" i="1"/>
  <c r="F29" i="1" s="1"/>
  <c r="G29" i="1" s="1"/>
  <c r="H29" i="1" s="1"/>
  <c r="F50" i="1"/>
  <c r="G50" i="1" s="1"/>
  <c r="H50" i="1" s="1"/>
  <c r="E51" i="1"/>
  <c r="F51" i="1" s="1"/>
  <c r="G51" i="1" s="1"/>
  <c r="H51" i="1" s="1"/>
  <c r="E52" i="1"/>
  <c r="E31" i="1"/>
  <c r="E28" i="1"/>
  <c r="E9" i="1"/>
  <c r="F9" i="1" s="1"/>
  <c r="G9" i="1" s="1"/>
  <c r="H9" i="1" s="1"/>
  <c r="E10" i="1"/>
  <c r="E7" i="1"/>
  <c r="D71" i="2" l="1"/>
  <c r="G72" i="1"/>
  <c r="H72" i="1" s="1"/>
  <c r="I76" i="1" s="1"/>
  <c r="J76" i="1" s="1"/>
  <c r="K76" i="1" s="1"/>
  <c r="E281" i="1"/>
  <c r="F281" i="1" s="1"/>
  <c r="G281" i="1" s="1"/>
  <c r="H281" i="1" s="1"/>
  <c r="I117" i="1"/>
  <c r="J117" i="1" s="1"/>
  <c r="E274" i="1"/>
  <c r="F274" i="1" s="1"/>
  <c r="G274" i="1" s="1"/>
  <c r="H274" i="1" s="1"/>
  <c r="I184" i="1"/>
  <c r="E275" i="1"/>
  <c r="F275" i="1" s="1"/>
  <c r="G275" i="1" s="1"/>
  <c r="H275" i="1" s="1"/>
  <c r="E282" i="1"/>
  <c r="F282" i="1" s="1"/>
  <c r="G282" i="1" s="1"/>
  <c r="H282" i="1" s="1"/>
  <c r="I211" i="1"/>
  <c r="J211" i="1" s="1"/>
  <c r="K211" i="1" s="1"/>
  <c r="I93" i="1"/>
  <c r="J93" i="1" s="1"/>
  <c r="I162" i="1"/>
  <c r="J162" i="1" s="1"/>
  <c r="E279" i="1"/>
  <c r="F279" i="1" s="1"/>
  <c r="G279" i="1" s="1"/>
  <c r="H279" i="1" s="1"/>
  <c r="E276" i="1"/>
  <c r="F276" i="1" s="1"/>
  <c r="G276" i="1" s="1"/>
  <c r="H276" i="1" s="1"/>
  <c r="E278" i="1"/>
  <c r="F278" i="1" s="1"/>
  <c r="I227" i="1"/>
  <c r="J227" i="1" s="1"/>
  <c r="E280" i="1"/>
  <c r="F280" i="1" s="1"/>
  <c r="G280" i="1" s="1"/>
  <c r="H280" i="1" s="1"/>
  <c r="I277" i="1"/>
  <c r="J277" i="1" s="1"/>
  <c r="K277" i="1" s="1"/>
  <c r="J285" i="1"/>
  <c r="K285" i="1" s="1"/>
  <c r="I284" i="1"/>
  <c r="J284" i="1" s="1"/>
  <c r="K284" i="1" s="1"/>
  <c r="J286" i="1"/>
  <c r="K286" i="1" s="1"/>
  <c r="J283" i="1"/>
  <c r="K283" i="1" s="1"/>
  <c r="I101" i="1"/>
  <c r="J101" i="1" s="1"/>
  <c r="K101" i="1" s="1"/>
  <c r="I235" i="1"/>
  <c r="J235" i="1" s="1"/>
  <c r="K235" i="1" s="1"/>
  <c r="I234" i="1"/>
  <c r="J234" i="1" s="1"/>
  <c r="K234" i="1" s="1"/>
  <c r="I232" i="1"/>
  <c r="J232" i="1" s="1"/>
  <c r="K232" i="1" s="1"/>
  <c r="I233" i="1"/>
  <c r="J233" i="1" s="1"/>
  <c r="K233" i="1" s="1"/>
  <c r="I253" i="1"/>
  <c r="J253" i="1" s="1"/>
  <c r="K253" i="1" s="1"/>
  <c r="I254" i="1"/>
  <c r="J254" i="1" s="1"/>
  <c r="K254" i="1" s="1"/>
  <c r="I255" i="1"/>
  <c r="J255" i="1" s="1"/>
  <c r="K255" i="1" s="1"/>
  <c r="I214" i="1"/>
  <c r="J214" i="1" s="1"/>
  <c r="K214" i="1" s="1"/>
  <c r="I190" i="1"/>
  <c r="J190" i="1" s="1"/>
  <c r="K190" i="1" s="1"/>
  <c r="I189" i="1"/>
  <c r="J189" i="1" s="1"/>
  <c r="K189" i="1" s="1"/>
  <c r="I170" i="1"/>
  <c r="J170" i="1" s="1"/>
  <c r="K170" i="1" s="1"/>
  <c r="I149" i="1"/>
  <c r="J149" i="1" s="1"/>
  <c r="K149" i="1" s="1"/>
  <c r="I124" i="1"/>
  <c r="J124" i="1" s="1"/>
  <c r="K124" i="1" s="1"/>
  <c r="I123" i="1"/>
  <c r="J123" i="1" s="1"/>
  <c r="K123" i="1" s="1"/>
  <c r="I169" i="1"/>
  <c r="J169" i="1" s="1"/>
  <c r="K169" i="1" s="1"/>
  <c r="I167" i="1"/>
  <c r="J167" i="1" s="1"/>
  <c r="K167" i="1" s="1"/>
  <c r="I168" i="1"/>
  <c r="J168" i="1" s="1"/>
  <c r="K168" i="1" s="1"/>
  <c r="I148" i="1"/>
  <c r="J148" i="1" s="1"/>
  <c r="K148" i="1" s="1"/>
  <c r="I147" i="1"/>
  <c r="J147" i="1" s="1"/>
  <c r="K147" i="1" s="1"/>
  <c r="I146" i="1"/>
  <c r="J146" i="1" s="1"/>
  <c r="K146" i="1" s="1"/>
  <c r="I122" i="1"/>
  <c r="J122" i="1" s="1"/>
  <c r="K122" i="1" s="1"/>
  <c r="I100" i="1"/>
  <c r="J100" i="1" s="1"/>
  <c r="K100" i="1" s="1"/>
  <c r="I99" i="1"/>
  <c r="J99" i="1" s="1"/>
  <c r="K99" i="1" s="1"/>
  <c r="I77" i="1"/>
  <c r="J77" i="1" s="1"/>
  <c r="K77" i="1" s="1"/>
  <c r="I97" i="1"/>
  <c r="J97" i="1" s="1"/>
  <c r="K97" i="1" s="1"/>
  <c r="I188" i="1"/>
  <c r="J188" i="1" s="1"/>
  <c r="K188" i="1" s="1"/>
  <c r="I252" i="1"/>
  <c r="J252" i="1" s="1"/>
  <c r="K252" i="1" s="1"/>
  <c r="I251" i="1"/>
  <c r="J251" i="1" s="1"/>
  <c r="K251" i="1" s="1"/>
  <c r="I121" i="1"/>
  <c r="J121" i="1" s="1"/>
  <c r="K121" i="1" s="1"/>
  <c r="I248" i="1"/>
  <c r="J248" i="1" s="1"/>
  <c r="I256" i="1"/>
  <c r="J256" i="1" s="1"/>
  <c r="K256" i="1" s="1"/>
  <c r="I231" i="1"/>
  <c r="J231" i="1" s="1"/>
  <c r="K231" i="1" s="1"/>
  <c r="J239" i="1"/>
  <c r="K239" i="1" s="1"/>
  <c r="I238" i="1"/>
  <c r="J238" i="1" s="1"/>
  <c r="K238" i="1" s="1"/>
  <c r="J230" i="1"/>
  <c r="K230" i="1" s="1"/>
  <c r="I237" i="1"/>
  <c r="J237" i="1" s="1"/>
  <c r="K237" i="1" s="1"/>
  <c r="J229" i="1"/>
  <c r="K229" i="1" s="1"/>
  <c r="J205" i="1"/>
  <c r="K205" i="1" s="1"/>
  <c r="J217" i="1"/>
  <c r="K217" i="1" s="1"/>
  <c r="I216" i="1"/>
  <c r="J216" i="1" s="1"/>
  <c r="K216" i="1" s="1"/>
  <c r="J218" i="1"/>
  <c r="K218" i="1" s="1"/>
  <c r="I213" i="1"/>
  <c r="J213" i="1" s="1"/>
  <c r="K213" i="1" s="1"/>
  <c r="J208" i="1"/>
  <c r="K208" i="1" s="1"/>
  <c r="I212" i="1"/>
  <c r="J212" i="1" s="1"/>
  <c r="K212" i="1" s="1"/>
  <c r="J209" i="1"/>
  <c r="K209" i="1" s="1"/>
  <c r="I210" i="1"/>
  <c r="J210" i="1" s="1"/>
  <c r="K210" i="1" s="1"/>
  <c r="I187" i="1"/>
  <c r="J187" i="1" s="1"/>
  <c r="K187" i="1" s="1"/>
  <c r="J194" i="1"/>
  <c r="K194" i="1" s="1"/>
  <c r="J195" i="1"/>
  <c r="K195" i="1" s="1"/>
  <c r="I191" i="1"/>
  <c r="J191" i="1" s="1"/>
  <c r="K191" i="1" s="1"/>
  <c r="I186" i="1"/>
  <c r="J186" i="1" s="1"/>
  <c r="K186" i="1" s="1"/>
  <c r="I182" i="1"/>
  <c r="J182" i="1" s="1"/>
  <c r="K182" i="1" s="1"/>
  <c r="I183" i="1"/>
  <c r="J183" i="1" s="1"/>
  <c r="K183" i="1" s="1"/>
  <c r="I166" i="1"/>
  <c r="J166" i="1" s="1"/>
  <c r="K166" i="1" s="1"/>
  <c r="I164" i="1"/>
  <c r="J164" i="1" s="1"/>
  <c r="K164" i="1" s="1"/>
  <c r="J165" i="1"/>
  <c r="K165" i="1" s="1"/>
  <c r="I161" i="1"/>
  <c r="J161" i="1" s="1"/>
  <c r="K161" i="1" s="1"/>
  <c r="I163" i="1"/>
  <c r="J163" i="1" s="1"/>
  <c r="K163" i="1" s="1"/>
  <c r="I174" i="1"/>
  <c r="J174" i="1" s="1"/>
  <c r="K174" i="1" s="1"/>
  <c r="I173" i="1"/>
  <c r="J173" i="1" s="1"/>
  <c r="K173" i="1" s="1"/>
  <c r="I172" i="1"/>
  <c r="J172" i="1" s="1"/>
  <c r="K172" i="1" s="1"/>
  <c r="I171" i="1"/>
  <c r="J171" i="1" s="1"/>
  <c r="K171" i="1" s="1"/>
  <c r="I141" i="1"/>
  <c r="J141" i="1" s="1"/>
  <c r="K141" i="1" s="1"/>
  <c r="J153" i="1"/>
  <c r="K153" i="1" s="1"/>
  <c r="J144" i="1"/>
  <c r="K144" i="1" s="1"/>
  <c r="J152" i="1"/>
  <c r="K152" i="1" s="1"/>
  <c r="I145" i="1"/>
  <c r="J145" i="1" s="1"/>
  <c r="K145" i="1" s="1"/>
  <c r="J119" i="1"/>
  <c r="K119" i="1" s="1"/>
  <c r="I120" i="1"/>
  <c r="J120" i="1" s="1"/>
  <c r="K120" i="1" s="1"/>
  <c r="I128" i="1"/>
  <c r="J128" i="1" s="1"/>
  <c r="K128" i="1" s="1"/>
  <c r="J115" i="1"/>
  <c r="K115" i="1" s="1"/>
  <c r="J127" i="1"/>
  <c r="K127" i="1" s="1"/>
  <c r="I116" i="1"/>
  <c r="J116" i="1" s="1"/>
  <c r="K116" i="1" s="1"/>
  <c r="I103" i="1"/>
  <c r="J103" i="1" s="1"/>
  <c r="K103" i="1" s="1"/>
  <c r="I98" i="1"/>
  <c r="J98" i="1" s="1"/>
  <c r="K98" i="1" s="1"/>
  <c r="I105" i="1"/>
  <c r="J105" i="1" s="1"/>
  <c r="K105" i="1" s="1"/>
  <c r="J94" i="1"/>
  <c r="K94" i="1" s="1"/>
  <c r="I104" i="1"/>
  <c r="J104" i="1" s="1"/>
  <c r="K104" i="1" s="1"/>
  <c r="J95" i="1"/>
  <c r="K95" i="1" s="1"/>
  <c r="I102" i="1"/>
  <c r="J102" i="1" s="1"/>
  <c r="K102" i="1" s="1"/>
  <c r="J96" i="1"/>
  <c r="K96" i="1" s="1"/>
  <c r="J83" i="1"/>
  <c r="K83" i="1" s="1"/>
  <c r="J259" i="1"/>
  <c r="K259" i="1" s="1"/>
  <c r="J246" i="1"/>
  <c r="K246" i="1" s="1"/>
  <c r="J247" i="1"/>
  <c r="K247" i="1" s="1"/>
  <c r="J250" i="1"/>
  <c r="K250" i="1" s="1"/>
  <c r="J258" i="1"/>
  <c r="K258" i="1" s="1"/>
  <c r="J249" i="1"/>
  <c r="K249" i="1" s="1"/>
  <c r="J257" i="1"/>
  <c r="K257" i="1" s="1"/>
  <c r="J228" i="1"/>
  <c r="K228" i="1" s="1"/>
  <c r="J236" i="1"/>
  <c r="K236" i="1" s="1"/>
  <c r="J226" i="1"/>
  <c r="K226" i="1" s="1"/>
  <c r="J207" i="1"/>
  <c r="K207" i="1" s="1"/>
  <c r="J215" i="1"/>
  <c r="K215" i="1" s="1"/>
  <c r="J206" i="1"/>
  <c r="K206" i="1" s="1"/>
  <c r="J184" i="1"/>
  <c r="J192" i="1"/>
  <c r="K192" i="1" s="1"/>
  <c r="J185" i="1"/>
  <c r="K185" i="1" s="1"/>
  <c r="J193" i="1"/>
  <c r="K193" i="1" s="1"/>
  <c r="J142" i="1"/>
  <c r="K142" i="1" s="1"/>
  <c r="J150" i="1"/>
  <c r="K150" i="1" s="1"/>
  <c r="J143" i="1"/>
  <c r="K143" i="1" s="1"/>
  <c r="J151" i="1"/>
  <c r="K151" i="1" s="1"/>
  <c r="J140" i="1"/>
  <c r="K140" i="1" s="1"/>
  <c r="J125" i="1"/>
  <c r="K125" i="1" s="1"/>
  <c r="J118" i="1"/>
  <c r="K118" i="1" s="1"/>
  <c r="J126" i="1"/>
  <c r="K126" i="1" s="1"/>
  <c r="J92" i="1"/>
  <c r="K92" i="1" s="1"/>
  <c r="J75" i="1"/>
  <c r="K75" i="1" s="1"/>
  <c r="J73" i="1"/>
  <c r="K73" i="1" s="1"/>
  <c r="J81" i="1"/>
  <c r="K81" i="1" s="1"/>
  <c r="J74" i="1"/>
  <c r="K74" i="1" s="1"/>
  <c r="J82" i="1"/>
  <c r="K82" i="1" s="1"/>
  <c r="J84" i="1"/>
  <c r="K84" i="1" s="1"/>
  <c r="J72" i="1"/>
  <c r="J71" i="1"/>
  <c r="K71" i="1" s="1"/>
  <c r="F53" i="1"/>
  <c r="G53" i="1" s="1"/>
  <c r="H53" i="1" s="1"/>
  <c r="I53" i="1" s="1"/>
  <c r="J53" i="1" s="1"/>
  <c r="K53" i="1" s="1"/>
  <c r="E62" i="1"/>
  <c r="F62" i="1" s="1"/>
  <c r="G62" i="1" s="1"/>
  <c r="H62" i="1" s="1"/>
  <c r="I62" i="1" s="1"/>
  <c r="J62" i="1" s="1"/>
  <c r="K62" i="1" s="1"/>
  <c r="E59" i="1"/>
  <c r="F59" i="1" s="1"/>
  <c r="G59" i="1" s="1"/>
  <c r="H59" i="1" s="1"/>
  <c r="E60" i="1"/>
  <c r="F60" i="1" s="1"/>
  <c r="G60" i="1" s="1"/>
  <c r="H60" i="1" s="1"/>
  <c r="E61" i="1"/>
  <c r="F61" i="1" s="1"/>
  <c r="G61" i="1" s="1"/>
  <c r="H61" i="1" s="1"/>
  <c r="E55" i="1"/>
  <c r="F55" i="1" s="1"/>
  <c r="G55" i="1" s="1"/>
  <c r="H55" i="1" s="1"/>
  <c r="F56" i="1"/>
  <c r="G56" i="1" s="1"/>
  <c r="H56" i="1" s="1"/>
  <c r="E57" i="1"/>
  <c r="F57" i="1" s="1"/>
  <c r="G57" i="1" s="1"/>
  <c r="H57" i="1" s="1"/>
  <c r="E58" i="1"/>
  <c r="F58" i="1" s="1"/>
  <c r="G58" i="1" s="1"/>
  <c r="H58" i="1" s="1"/>
  <c r="F54" i="1"/>
  <c r="G54" i="1" s="1"/>
  <c r="H54" i="1" s="1"/>
  <c r="F52" i="1"/>
  <c r="G52" i="1" s="1"/>
  <c r="H52" i="1" s="1"/>
  <c r="F49" i="1"/>
  <c r="G49" i="1" s="1"/>
  <c r="H49" i="1" s="1"/>
  <c r="F31" i="1"/>
  <c r="G31" i="1" s="1"/>
  <c r="H31" i="1" s="1"/>
  <c r="F32" i="1"/>
  <c r="G32" i="1" s="1"/>
  <c r="H32" i="1" s="1"/>
  <c r="I32" i="1" s="1"/>
  <c r="J32" i="1" s="1"/>
  <c r="K32" i="1" s="1"/>
  <c r="F28" i="1"/>
  <c r="G28" i="1" s="1"/>
  <c r="H28" i="1" s="1"/>
  <c r="E41" i="1"/>
  <c r="F41" i="1" s="1"/>
  <c r="G41" i="1" s="1"/>
  <c r="H41" i="1" s="1"/>
  <c r="E32" i="1"/>
  <c r="F33" i="1"/>
  <c r="G33" i="1" s="1"/>
  <c r="H33" i="1" s="1"/>
  <c r="E34" i="1"/>
  <c r="F34" i="1" s="1"/>
  <c r="G34" i="1" s="1"/>
  <c r="H34" i="1" s="1"/>
  <c r="E35" i="1"/>
  <c r="E36" i="1"/>
  <c r="F36" i="1" s="1"/>
  <c r="G36" i="1" s="1"/>
  <c r="H36" i="1" s="1"/>
  <c r="E37" i="1"/>
  <c r="F37" i="1" s="1"/>
  <c r="G37" i="1" s="1"/>
  <c r="H37" i="1" s="1"/>
  <c r="F38" i="1"/>
  <c r="G38" i="1" s="1"/>
  <c r="H38" i="1" s="1"/>
  <c r="E39" i="1"/>
  <c r="F39" i="1" s="1"/>
  <c r="G39" i="1" s="1"/>
  <c r="H39" i="1" s="1"/>
  <c r="E40" i="1"/>
  <c r="F40" i="1" s="1"/>
  <c r="G40" i="1" s="1"/>
  <c r="H40" i="1" s="1"/>
  <c r="F10" i="1"/>
  <c r="G10" i="1" s="1"/>
  <c r="H10" i="1" s="1"/>
  <c r="E11" i="1"/>
  <c r="F11" i="1" s="1"/>
  <c r="G11" i="1" s="1"/>
  <c r="H11" i="1" s="1"/>
  <c r="I11" i="1" s="1"/>
  <c r="E12" i="1"/>
  <c r="F12" i="1" s="1"/>
  <c r="G12" i="1" s="1"/>
  <c r="E19" i="1"/>
  <c r="F19" i="1" s="1"/>
  <c r="G19" i="1" s="1"/>
  <c r="E18" i="1"/>
  <c r="F18" i="1" s="1"/>
  <c r="G18" i="1" s="1"/>
  <c r="E17" i="1"/>
  <c r="F17" i="1" s="1"/>
  <c r="G17" i="1" s="1"/>
  <c r="E16" i="1"/>
  <c r="F16" i="1" s="1"/>
  <c r="G16" i="1" s="1"/>
  <c r="E15" i="1"/>
  <c r="F15" i="1" s="1"/>
  <c r="G15" i="1" s="1"/>
  <c r="E14" i="1"/>
  <c r="F13" i="1"/>
  <c r="G13" i="1" s="1"/>
  <c r="F7" i="1"/>
  <c r="E20" i="1"/>
  <c r="F20" i="1" s="1"/>
  <c r="G20" i="1" s="1"/>
  <c r="I78" i="1" l="1"/>
  <c r="J78" i="1" s="1"/>
  <c r="K78" i="1" s="1"/>
  <c r="L92" i="1"/>
  <c r="O92" i="1" s="1"/>
  <c r="P92" i="1" s="1"/>
  <c r="K72" i="1"/>
  <c r="I79" i="1"/>
  <c r="J79" i="1" s="1"/>
  <c r="K79" i="1" s="1"/>
  <c r="I80" i="1"/>
  <c r="J80" i="1" s="1"/>
  <c r="K80" i="1" s="1"/>
  <c r="I51" i="1"/>
  <c r="J51" i="1" s="1"/>
  <c r="G278" i="1"/>
  <c r="L140" i="1"/>
  <c r="O140" i="1" s="1"/>
  <c r="P140" i="1" s="1"/>
  <c r="F35" i="1"/>
  <c r="G35" i="1" s="1"/>
  <c r="H35" i="1" s="1"/>
  <c r="I36" i="1" s="1"/>
  <c r="J36" i="1" s="1"/>
  <c r="K36" i="1" s="1"/>
  <c r="L205" i="1"/>
  <c r="O205" i="1" s="1"/>
  <c r="P205" i="1" s="1"/>
  <c r="F14" i="1"/>
  <c r="G14" i="1" s="1"/>
  <c r="L246" i="1"/>
  <c r="O246" i="1" s="1"/>
  <c r="P246" i="1" s="1"/>
  <c r="N226" i="1" a="1"/>
  <c r="N226" i="1" s="1"/>
  <c r="L161" i="1"/>
  <c r="O161" i="1" s="1"/>
  <c r="P161" i="1" s="1"/>
  <c r="L226" i="1"/>
  <c r="O226" i="1" s="1"/>
  <c r="P226" i="1" s="1"/>
  <c r="M226" i="1" a="1"/>
  <c r="M226" i="1" s="1"/>
  <c r="M205" i="1" a="1"/>
  <c r="M205" i="1" s="1"/>
  <c r="L182" i="1"/>
  <c r="O182" i="1" s="1"/>
  <c r="P182" i="1" s="1"/>
  <c r="M182" i="1" a="1"/>
  <c r="M182" i="1" s="1"/>
  <c r="N182" i="1" a="1"/>
  <c r="N182" i="1" s="1"/>
  <c r="N161" i="1" a="1"/>
  <c r="N161" i="1" s="1"/>
  <c r="N115" i="1" a="1"/>
  <c r="N115" i="1" s="1"/>
  <c r="L115" i="1"/>
  <c r="O115" i="1" s="1"/>
  <c r="P115" i="1" s="1"/>
  <c r="M246" i="1" a="1"/>
  <c r="M246" i="1" s="1"/>
  <c r="N246" i="1" a="1"/>
  <c r="N246" i="1" s="1"/>
  <c r="N205" i="1" a="1"/>
  <c r="N205" i="1" s="1"/>
  <c r="M161" i="1" a="1"/>
  <c r="M161" i="1" s="1"/>
  <c r="N140" i="1" a="1"/>
  <c r="N140" i="1" s="1"/>
  <c r="M140" i="1" a="1"/>
  <c r="M140" i="1" s="1"/>
  <c r="M115" i="1" a="1"/>
  <c r="M115" i="1" s="1"/>
  <c r="M92" i="1" a="1"/>
  <c r="M92" i="1" s="1"/>
  <c r="N92" i="1" a="1"/>
  <c r="N92" i="1" s="1"/>
  <c r="I28" i="1"/>
  <c r="J28" i="1" s="1"/>
  <c r="K28" i="1" s="1"/>
  <c r="I52" i="1"/>
  <c r="J52" i="1" s="1"/>
  <c r="K52" i="1" s="1"/>
  <c r="I49" i="1"/>
  <c r="J49" i="1" s="1"/>
  <c r="K49" i="1" s="1"/>
  <c r="I50" i="1"/>
  <c r="J50" i="1" s="1"/>
  <c r="K50" i="1" s="1"/>
  <c r="I31" i="1"/>
  <c r="J31" i="1" s="1"/>
  <c r="K31" i="1" s="1"/>
  <c r="I30" i="1"/>
  <c r="J30" i="1" s="1"/>
  <c r="K30" i="1" s="1"/>
  <c r="G7" i="1"/>
  <c r="H7" i="1" s="1"/>
  <c r="I38" i="1"/>
  <c r="J38" i="1" s="1"/>
  <c r="K38" i="1" s="1"/>
  <c r="I39" i="1"/>
  <c r="J39" i="1" s="1"/>
  <c r="K39" i="1" s="1"/>
  <c r="I37" i="1"/>
  <c r="J37" i="1" s="1"/>
  <c r="K37" i="1" s="1"/>
  <c r="I55" i="1"/>
  <c r="J55" i="1" s="1"/>
  <c r="K55" i="1" s="1"/>
  <c r="I59" i="1"/>
  <c r="J59" i="1" s="1"/>
  <c r="K59" i="1" s="1"/>
  <c r="I58" i="1"/>
  <c r="J58" i="1" s="1"/>
  <c r="K58" i="1" s="1"/>
  <c r="I57" i="1"/>
  <c r="J57" i="1" s="1"/>
  <c r="K57" i="1" s="1"/>
  <c r="I56" i="1"/>
  <c r="J56" i="1" s="1"/>
  <c r="K56" i="1" s="1"/>
  <c r="I61" i="1"/>
  <c r="J61" i="1" s="1"/>
  <c r="K61" i="1" s="1"/>
  <c r="I60" i="1"/>
  <c r="J60" i="1" s="1"/>
  <c r="K60" i="1" s="1"/>
  <c r="I54" i="1"/>
  <c r="J54" i="1" s="1"/>
  <c r="K54" i="1" s="1"/>
  <c r="I40" i="1"/>
  <c r="J40" i="1" s="1"/>
  <c r="K40" i="1" s="1"/>
  <c r="I41" i="1"/>
  <c r="J41" i="1" s="1"/>
  <c r="K41" i="1" s="1"/>
  <c r="J11" i="1"/>
  <c r="K11" i="1" s="1"/>
  <c r="L71" i="1" l="1"/>
  <c r="O71" i="1" s="1"/>
  <c r="P71" i="1" s="1"/>
  <c r="E263" i="1" s="1"/>
  <c r="N71" i="1" a="1"/>
  <c r="N71" i="1" s="1"/>
  <c r="M71" i="1" a="1"/>
  <c r="M71" i="1" s="1"/>
  <c r="E265" i="1"/>
  <c r="E264" i="1"/>
  <c r="I29" i="1"/>
  <c r="J29" i="1" s="1"/>
  <c r="H278" i="1"/>
  <c r="I33" i="1"/>
  <c r="J33" i="1" s="1"/>
  <c r="K33" i="1" s="1"/>
  <c r="I35" i="1"/>
  <c r="J35" i="1" s="1"/>
  <c r="K35" i="1" s="1"/>
  <c r="I34" i="1"/>
  <c r="J34" i="1" s="1"/>
  <c r="K34" i="1" s="1"/>
  <c r="N49" i="1" a="1"/>
  <c r="N49" i="1" s="1"/>
  <c r="L49" i="1"/>
  <c r="M49" i="1" a="1"/>
  <c r="M49" i="1" s="1"/>
  <c r="I276" i="1" l="1"/>
  <c r="J276" i="1" s="1"/>
  <c r="I274" i="1"/>
  <c r="J274" i="1" s="1"/>
  <c r="I278" i="1"/>
  <c r="J278" i="1" s="1"/>
  <c r="K278" i="1" s="1"/>
  <c r="I275" i="1"/>
  <c r="J275" i="1" s="1"/>
  <c r="K275" i="1" s="1"/>
  <c r="I281" i="1"/>
  <c r="J281" i="1" s="1"/>
  <c r="K281" i="1" s="1"/>
  <c r="I282" i="1"/>
  <c r="J282" i="1" s="1"/>
  <c r="K282" i="1" s="1"/>
  <c r="I279" i="1"/>
  <c r="J279" i="1" s="1"/>
  <c r="K279" i="1" s="1"/>
  <c r="I280" i="1"/>
  <c r="J280" i="1" s="1"/>
  <c r="K280" i="1" s="1"/>
  <c r="L28" i="1"/>
  <c r="N28" i="1" a="1"/>
  <c r="N28" i="1" s="1"/>
  <c r="M28" i="1" a="1"/>
  <c r="M28" i="1" s="1"/>
  <c r="H13" i="1"/>
  <c r="L273" i="1" l="1"/>
  <c r="O273" i="1" s="1"/>
  <c r="P273" i="1" s="1"/>
  <c r="M273" i="1" a="1"/>
  <c r="M273" i="1" s="1"/>
  <c r="N273" i="1" a="1"/>
  <c r="N273" i="1" s="1"/>
  <c r="H14" i="1"/>
  <c r="H16" i="1"/>
  <c r="H17" i="1"/>
  <c r="H19" i="1"/>
  <c r="H18" i="1"/>
  <c r="H15" i="1"/>
  <c r="H20" i="1" l="1"/>
  <c r="I20" i="1" l="1"/>
  <c r="J20" i="1" s="1"/>
  <c r="K20" i="1" s="1"/>
  <c r="O49" i="1"/>
  <c r="P49" i="1" s="1"/>
  <c r="O28" i="1"/>
  <c r="P28" i="1" s="1"/>
  <c r="H12" i="1"/>
  <c r="I7" i="1" l="1"/>
  <c r="J7" i="1" s="1"/>
  <c r="K7" i="1" s="1"/>
  <c r="I10" i="1"/>
  <c r="J10" i="1" s="1"/>
  <c r="K10" i="1" s="1"/>
  <c r="I8" i="1"/>
  <c r="J8" i="1" s="1"/>
  <c r="I9" i="1"/>
  <c r="J9" i="1" s="1"/>
  <c r="K9" i="1" s="1"/>
  <c r="I13" i="1"/>
  <c r="J13" i="1" s="1"/>
  <c r="K13" i="1" s="1"/>
  <c r="I12" i="1"/>
  <c r="J12" i="1" s="1"/>
  <c r="K12" i="1" s="1"/>
  <c r="I15" i="1"/>
  <c r="J15" i="1" s="1"/>
  <c r="K15" i="1" s="1"/>
  <c r="I19" i="1"/>
  <c r="J19" i="1" s="1"/>
  <c r="K19" i="1" s="1"/>
  <c r="I14" i="1"/>
  <c r="J14" i="1" s="1"/>
  <c r="K14" i="1" s="1"/>
  <c r="I18" i="1"/>
  <c r="J18" i="1" s="1"/>
  <c r="K18" i="1" s="1"/>
  <c r="I16" i="1"/>
  <c r="J16" i="1" s="1"/>
  <c r="K16" i="1" s="1"/>
  <c r="I17" i="1"/>
  <c r="J17" i="1" s="1"/>
  <c r="K17" i="1" s="1"/>
  <c r="L7" i="1" l="1"/>
  <c r="O7" i="1" s="1"/>
  <c r="P7" i="1" s="1"/>
  <c r="N7" i="1" a="1"/>
  <c r="N7" i="1" s="1"/>
  <c r="M7" i="1" a="1"/>
  <c r="M7" i="1" s="1"/>
  <c r="M26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<sst xmlns="http://schemas.openxmlformats.org/spreadsheetml/2006/main" count="721" uniqueCount="113">
  <si>
    <t>ITEM</t>
  </si>
  <si>
    <t>QUANTIDADE</t>
  </si>
  <si>
    <t>UNIDADE</t>
  </si>
  <si>
    <t>DESCRIÇÃO</t>
  </si>
  <si>
    <t xml:space="preserve">PARÂMETRO DE PESQUISA </t>
  </si>
  <si>
    <t>COTAÇÕES</t>
  </si>
  <si>
    <t>VALOR</t>
  </si>
  <si>
    <t>MÉDIA DOS DEMAIS VALORES</t>
  </si>
  <si>
    <t>AVALIAÇÃO</t>
  </si>
  <si>
    <t>VALOR ESTIMADO TOTAL</t>
  </si>
  <si>
    <t xml:space="preserve"> I</t>
  </si>
  <si>
    <t>II</t>
  </si>
  <si>
    <t>III</t>
  </si>
  <si>
    <t xml:space="preserve">MEDIANA </t>
  </si>
  <si>
    <t>MENOR PREÇO</t>
  </si>
  <si>
    <t>IV</t>
  </si>
  <si>
    <t>PREÇO VÁLIDO ESCOLHIDO</t>
  </si>
  <si>
    <t>VALOR UNITÁRIO ESTIMADO (MÉDIA)</t>
  </si>
  <si>
    <t>-</t>
  </si>
  <si>
    <t>FORNECEDORES                             ()</t>
  </si>
  <si>
    <t>FORNECEDORES                       ()</t>
  </si>
  <si>
    <t>FORNECEDORES                          ()</t>
  </si>
  <si>
    <t>PLANILHA DE ECONOMICIDADE - PA Nº 44505/2025</t>
  </si>
  <si>
    <t>LOTE 1 - PMRO</t>
  </si>
  <si>
    <t>Migração / Implantação / Capacitação / Treinamento.</t>
  </si>
  <si>
    <t>Cessão de direito de uso por prazo determinado (locação).</t>
  </si>
  <si>
    <t>Previsão de horas para suporte técnico e treinamento de acordo com demanda.</t>
  </si>
  <si>
    <t>SERVIÇO</t>
  </si>
  <si>
    <t>MESES</t>
  </si>
  <si>
    <t>Previsão de horas para suporte técnico e treinamento de acordo com Demanda.</t>
  </si>
  <si>
    <t>SISTEMA DE GESTÃO PÚBLICA</t>
  </si>
  <si>
    <t>FORNECEDORES                           (Governaça Brasil)</t>
  </si>
  <si>
    <t>FORNECEDORES                          (CTA)</t>
  </si>
  <si>
    <t>FORNECEDORES                          (Hard Solution)</t>
  </si>
  <si>
    <t>FORNECEDORES                          (DBNOVA Tecnologia)</t>
  </si>
  <si>
    <t>FORNECEDORES                          (Modernização Púb.)</t>
  </si>
  <si>
    <t xml:space="preserve">Total geral </t>
  </si>
  <si>
    <t>COMPARATIVO DOS VALORES GLOBAIS</t>
  </si>
  <si>
    <t>Edital Cabo Frio</t>
  </si>
  <si>
    <t>Edital Armação de Búzios</t>
  </si>
  <si>
    <t>VÁLIDO</t>
  </si>
  <si>
    <t>Edital Miguel Pereira</t>
  </si>
  <si>
    <t>Esta tabela foi feita com o ituito de demonstrar a tentativa de compor preços, porém alguns órgãos optaram por divulgar somente o valor total homologado. Tornando frustrada a tentativa de fazer a economicidade de forma detalhada.</t>
  </si>
  <si>
    <t>Edital Câmara de Curitiba</t>
  </si>
  <si>
    <t>Orçamento</t>
  </si>
  <si>
    <t>Contabilidade Pública</t>
  </si>
  <si>
    <t>Tesouraria</t>
  </si>
  <si>
    <t>Portal da Transparência</t>
  </si>
  <si>
    <t>Patrimônio</t>
  </si>
  <si>
    <t>Almoxarifado</t>
  </si>
  <si>
    <t>Compras e Licitações</t>
  </si>
  <si>
    <t>Cadastro Funcional</t>
  </si>
  <si>
    <t>Processamento da Folha de Pagamento</t>
  </si>
  <si>
    <t>Gerenciamento de Benefícios</t>
  </si>
  <si>
    <t>Processamento de Aposentadoria</t>
  </si>
  <si>
    <t>Registro de Frequência</t>
  </si>
  <si>
    <t>Portal do Servidor</t>
  </si>
  <si>
    <t>Gestão de Saúde Ocup. e Med. Trabalho</t>
  </si>
  <si>
    <t>Total Lote 1 (PMRO)</t>
  </si>
  <si>
    <t>Total Lote 3 (Fundação de Cultura)</t>
  </si>
  <si>
    <t>Total Lote 4 (SAAE)</t>
  </si>
  <si>
    <t>Total Lote 5 (Ostrasprev)</t>
  </si>
  <si>
    <t>Lote 2 - Item 1</t>
  </si>
  <si>
    <t>Lote 1 - Item 3</t>
  </si>
  <si>
    <t>Módulos do sistema</t>
  </si>
  <si>
    <t>Lote 3 - Item 1</t>
  </si>
  <si>
    <t>Lote 3 - Item 2</t>
  </si>
  <si>
    <t>Lote 3 - Item 3</t>
  </si>
  <si>
    <t>Lote 4 - Item 1</t>
  </si>
  <si>
    <t>Atendimento personalizado - Técnico presencial</t>
  </si>
  <si>
    <t>Lote 2 - Item 3</t>
  </si>
  <si>
    <t>Lote 4 - Item 3</t>
  </si>
  <si>
    <t>Obs. Utilizamos o valor da hora compatível com o solicitado no TR.</t>
  </si>
  <si>
    <t>Obs. Utilizamos somente os valores dos módulos que o Município pretende licitar.</t>
  </si>
  <si>
    <t>Lote 2 - Item 2</t>
  </si>
  <si>
    <t>Lote 4 - Item 2</t>
  </si>
  <si>
    <t>Gestão de Recursos Humanos:</t>
  </si>
  <si>
    <t>Serviço de diagnóstico, migração de dados, configuração, habilitação e treinamento de usuários.</t>
  </si>
  <si>
    <t>Serviço de implantação</t>
  </si>
  <si>
    <t>Obs. Utilizamos este valor somente para autarquias devido ao edital ser da Câmara.</t>
  </si>
  <si>
    <t>Frotas</t>
  </si>
  <si>
    <t>Compras, licitações e contratos</t>
  </si>
  <si>
    <t>Recursos Humanos e folha de pagamento</t>
  </si>
  <si>
    <t>Controle Interno</t>
  </si>
  <si>
    <t>Assistência Social</t>
  </si>
  <si>
    <t>Obs. Utilizamos somente os valores referentes aos módulos a serem contratados.</t>
  </si>
  <si>
    <t>Tabela 1 - Valores correspondentes à implantação dos módulos específicos para Fundos e Autarquias.</t>
  </si>
  <si>
    <t>Total:</t>
  </si>
  <si>
    <t>Tabela 3 - Quantidade de manutenção e suporte</t>
  </si>
  <si>
    <t>Obs. Apesar do nome, a tabela em questão se refere ao licenciamento do sistema.</t>
  </si>
  <si>
    <t>Lote 1 - Item 1</t>
  </si>
  <si>
    <t>Lote 1 - Item 2</t>
  </si>
  <si>
    <t>Subtotal</t>
  </si>
  <si>
    <t>Tabela 1 - Migração e implantação</t>
  </si>
  <si>
    <t>Tabela 2 - Quantidades de treinamentos</t>
  </si>
  <si>
    <t xml:space="preserve">Obs. Para compor este item foi somado o total da migração e implantação com o total da quantidade de treinamentos. </t>
  </si>
  <si>
    <t>Detalhamento dos cálculos e composições utilizadas para chegar no valor correspondente.</t>
  </si>
  <si>
    <t>LOTE 2 - FUNDAÇÃO DE CULTURA</t>
  </si>
  <si>
    <t>LOTE 3 - SAAE</t>
  </si>
  <si>
    <t>LOTE 4 - OSTRASPREV</t>
  </si>
  <si>
    <t>FLS.</t>
  </si>
  <si>
    <t>Contrato Búzios</t>
  </si>
  <si>
    <t>Contrato de Búzios</t>
  </si>
  <si>
    <t>304 verso</t>
  </si>
  <si>
    <t>305 frente e verso</t>
  </si>
  <si>
    <t>303 e 304</t>
  </si>
  <si>
    <t>FLS</t>
  </si>
  <si>
    <t>303 verso</t>
  </si>
  <si>
    <t>304 frente e verso</t>
  </si>
  <si>
    <t>FLS 314</t>
  </si>
  <si>
    <t>305/306</t>
  </si>
  <si>
    <t>303/304</t>
  </si>
  <si>
    <t>304/305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</si>
</sst>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R$&quot;\ #,##0.00;[Red]\-&quot;R$&quot;\ #,##0.00"/>
    <numFmt numFmtId="43" formatCode="_-* #,##0.00_-;\-* #,##0.00_-;_-* &quot;-&quot;??_-;_-@_-"/>
    <numFmt numFmtId="164" formatCode="&quot;R$&quot;\ #,##0.00;[Red]&quot;R$&quot;\ \-#,##0.00"/>
    <numFmt numFmtId="165" formatCode="_(&quot;R$ &quot;* #,##0.00_);_(&quot;R$ &quot;* \(#,##0.00\);_(&quot;R$ &quot;* \-??_);_(@_)"/>
    <numFmt numFmtId="166" formatCode="dd/mm/yy"/>
    <numFmt numFmtId="167" formatCode="[$R$-416]\ #,##0.00;[Red]\-[$R$-416]\ #,##0.00"/>
    <numFmt numFmtId="168" formatCode="&quot;R$&quot;\ #,##0.00;[Red]&quot;R$&quot;\ #,##0.00"/>
    <numFmt numFmtId="169" formatCode="&quot;R$&quot;\ #,##0.00"/>
  </numFmts>
  <fonts count="28" x14ac:knownFonts="1">
    <font>
      <sz val="10"/>
      <name val="Arial"/>
      <charset val="1"/>
    </font>
    <font>
      <sz val="11"/>
      <color rgb="FF000000"/>
      <name val="Arial"/>
      <family val="2"/>
      <charset val="1"/>
    </font>
    <font>
      <sz val="8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12"/>
      <name val="Arial"/>
      <family val="2"/>
      <charset val="1"/>
    </font>
    <font>
      <b/>
      <sz val="10"/>
      <name val="Arial"/>
      <charset val="1"/>
    </font>
    <font>
      <b/>
      <sz val="8"/>
      <color rgb="FF000000"/>
      <name val="Arial"/>
      <family val="2"/>
      <charset val="1"/>
    </font>
    <font>
      <b/>
      <sz val="8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name val="Arial"/>
      <family val="2"/>
      <charset val="1"/>
    </font>
    <font>
      <b/>
      <sz val="8"/>
      <color rgb="FF111111"/>
      <name val="Arial"/>
      <family val="2"/>
      <charset val="1"/>
    </font>
    <font>
      <sz val="8"/>
      <color rgb="FF000000"/>
      <name val="Arial"/>
      <family val="2"/>
      <charset val="1"/>
    </font>
    <font>
      <u/>
      <sz val="10"/>
      <color rgb="FF0000FF"/>
      <name val="Arial"/>
      <family val="2"/>
      <charset val="1"/>
    </font>
    <font>
      <u/>
      <sz val="8"/>
      <color rgb="FF0000FF"/>
      <name val="Arial"/>
      <family val="2"/>
      <charset val="1"/>
    </font>
    <font>
      <sz val="10"/>
      <name val="Arial"/>
      <charset val="1"/>
    </font>
    <font>
      <sz val="8"/>
      <color rgb="FF000000"/>
      <name val="Arial"/>
      <family val="2"/>
    </font>
    <font>
      <b/>
      <sz val="10"/>
      <name val="Arial"/>
      <family val="2"/>
    </font>
    <font>
      <sz val="8"/>
      <color rgb="FF0000FF"/>
      <name val="Arial"/>
      <family val="2"/>
      <charset val="1"/>
    </font>
    <font>
      <b/>
      <sz val="8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u/>
      <sz val="8"/>
      <color rgb="FF000000"/>
      <name val="Arial"/>
      <family val="2"/>
      <charset val="1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u/>
      <sz val="10"/>
      <name val="Arial"/>
      <family val="2"/>
    </font>
    <font>
      <sz val="8"/>
      <name val="Arial"/>
      <charset val="1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B4C7D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B4C7D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CCCCCC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5">
    <xf numFmtId="0" fontId="0" fillId="0" borderId="0"/>
    <xf numFmtId="165" fontId="15" fillId="0" borderId="0" applyBorder="0" applyProtection="0"/>
    <xf numFmtId="0" fontId="13" fillId="0" borderId="0" applyBorder="0" applyProtection="0"/>
    <xf numFmtId="0" fontId="1" fillId="0" borderId="0"/>
    <xf numFmtId="0" fontId="1" fillId="0" borderId="0"/>
  </cellStyleXfs>
  <cellXfs count="155">
    <xf numFmtId="0" fontId="0" fillId="0" borderId="0" xfId="0"/>
    <xf numFmtId="0" fontId="0" fillId="2" borderId="0" xfId="0" applyFill="1" applyAlignment="1">
      <alignment horizontal="center" vertical="center"/>
    </xf>
    <xf numFmtId="165" fontId="3" fillId="0" borderId="0" xfId="1" applyFont="1" applyBorder="1" applyAlignment="1" applyProtection="1">
      <alignment vertical="center"/>
    </xf>
    <xf numFmtId="165" fontId="4" fillId="0" borderId="0" xfId="1" applyFont="1" applyBorder="1" applyAlignment="1" applyProtection="1">
      <alignment vertical="center"/>
    </xf>
    <xf numFmtId="0" fontId="7" fillId="0" borderId="0" xfId="0" applyFont="1" applyBorder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/>
    </xf>
    <xf numFmtId="165" fontId="17" fillId="5" borderId="0" xfId="1" applyFont="1" applyFill="1" applyBorder="1" applyAlignment="1">
      <alignment horizontal="center" vertical="center"/>
    </xf>
    <xf numFmtId="0" fontId="23" fillId="5" borderId="0" xfId="2" applyFont="1" applyFill="1" applyBorder="1" applyAlignment="1" applyProtection="1">
      <alignment horizontal="center" vertical="center"/>
    </xf>
    <xf numFmtId="8" fontId="23" fillId="5" borderId="0" xfId="2" applyNumberFormat="1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14" fillId="0" borderId="0" xfId="2" applyFont="1" applyBorder="1" applyAlignment="1" applyProtection="1">
      <alignment vertical="center"/>
    </xf>
    <xf numFmtId="0" fontId="2" fillId="0" borderId="0" xfId="0" applyFont="1" applyAlignment="1">
      <alignment vertical="center"/>
    </xf>
    <xf numFmtId="165" fontId="15" fillId="5" borderId="0" xfId="1" applyFill="1" applyBorder="1" applyAlignment="1">
      <alignment vertical="center"/>
    </xf>
    <xf numFmtId="0" fontId="2" fillId="5" borderId="0" xfId="0" applyFont="1" applyFill="1" applyBorder="1" applyAlignment="1">
      <alignment vertical="center"/>
    </xf>
    <xf numFmtId="0" fontId="0" fillId="5" borderId="0" xfId="0" applyFill="1" applyBorder="1" applyAlignment="1">
      <alignment vertical="center"/>
    </xf>
    <xf numFmtId="0" fontId="3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2" fillId="0" borderId="0" xfId="0" applyFont="1" applyBorder="1" applyAlignment="1">
      <alignment horizontal="center" vertical="center"/>
    </xf>
    <xf numFmtId="0" fontId="18" fillId="0" borderId="0" xfId="2" applyFont="1" applyBorder="1" applyAlignment="1" applyProtection="1">
      <alignment vertical="center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vertical="center"/>
    </xf>
    <xf numFmtId="0" fontId="20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9" fontId="9" fillId="8" borderId="1" xfId="0" applyNumberFormat="1" applyFont="1" applyFill="1" applyBorder="1" applyAlignment="1">
      <alignment horizontal="center" vertical="center" wrapText="1"/>
    </xf>
    <xf numFmtId="9" fontId="9" fillId="9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166" fontId="16" fillId="5" borderId="0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4" fontId="11" fillId="5" borderId="2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167" fontId="10" fillId="5" borderId="1" xfId="0" applyNumberFormat="1" applyFont="1" applyFill="1" applyBorder="1" applyAlignment="1">
      <alignment horizontal="center" vertical="center" wrapText="1"/>
    </xf>
    <xf numFmtId="169" fontId="20" fillId="5" borderId="1" xfId="1" applyNumberFormat="1" applyFont="1" applyFill="1" applyBorder="1" applyAlignment="1">
      <alignment horizontal="center" vertical="center" wrapText="1"/>
    </xf>
    <xf numFmtId="169" fontId="10" fillId="5" borderId="1" xfId="0" applyNumberFormat="1" applyFont="1" applyFill="1" applyBorder="1" applyAlignment="1">
      <alignment horizontal="center" vertical="center" wrapText="1"/>
    </xf>
    <xf numFmtId="169" fontId="10" fillId="5" borderId="1" xfId="1" applyNumberFormat="1" applyFont="1" applyFill="1" applyBorder="1" applyAlignment="1" applyProtection="1">
      <alignment horizontal="center"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4" fontId="11" fillId="5" borderId="0" xfId="0" applyNumberFormat="1" applyFont="1" applyFill="1" applyBorder="1" applyAlignment="1">
      <alignment horizontal="center"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169" fontId="10" fillId="5" borderId="1" xfId="1" quotePrefix="1" applyNumberFormat="1" applyFont="1" applyFill="1" applyBorder="1" applyAlignment="1" applyProtection="1">
      <alignment horizontal="center"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4" fontId="11" fillId="5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9" fontId="3" fillId="0" borderId="0" xfId="0" applyNumberFormat="1" applyFont="1" applyAlignment="1">
      <alignment vertical="center" wrapText="1"/>
    </xf>
    <xf numFmtId="0" fontId="12" fillId="5" borderId="0" xfId="0" applyFont="1" applyFill="1" applyBorder="1" applyAlignment="1">
      <alignment vertical="center" wrapText="1"/>
    </xf>
    <xf numFmtId="0" fontId="0" fillId="0" borderId="1" xfId="0" applyBorder="1"/>
    <xf numFmtId="0" fontId="17" fillId="0" borderId="1" xfId="0" applyFont="1" applyBorder="1"/>
    <xf numFmtId="0" fontId="12" fillId="5" borderId="1" xfId="0" applyFont="1" applyFill="1" applyBorder="1" applyAlignment="1">
      <alignment vertical="center" wrapText="1"/>
    </xf>
    <xf numFmtId="0" fontId="12" fillId="5" borderId="0" xfId="0" applyFont="1" applyFill="1" applyBorder="1" applyAlignment="1">
      <alignment horizontal="left" vertical="center" wrapText="1"/>
    </xf>
    <xf numFmtId="164" fontId="0" fillId="0" borderId="1" xfId="0" applyNumberFormat="1" applyBorder="1"/>
    <xf numFmtId="0" fontId="20" fillId="0" borderId="1" xfId="0" applyFont="1" applyBorder="1"/>
    <xf numFmtId="164" fontId="17" fillId="0" borderId="1" xfId="0" applyNumberFormat="1" applyFont="1" applyBorder="1"/>
    <xf numFmtId="0" fontId="27" fillId="5" borderId="1" xfId="0" applyFont="1" applyFill="1" applyBorder="1" applyAlignment="1">
      <alignment vertical="center" wrapText="1"/>
    </xf>
    <xf numFmtId="169" fontId="0" fillId="0" borderId="1" xfId="0" applyNumberFormat="1" applyBorder="1" applyAlignment="1">
      <alignment vertical="center"/>
    </xf>
    <xf numFmtId="164" fontId="20" fillId="0" borderId="1" xfId="0" applyNumberFormat="1" applyFont="1" applyBorder="1"/>
    <xf numFmtId="169" fontId="0" fillId="0" borderId="1" xfId="0" applyNumberFormat="1" applyBorder="1"/>
    <xf numFmtId="0" fontId="17" fillId="0" borderId="1" xfId="0" applyFont="1" applyBorder="1" applyAlignment="1">
      <alignment horizontal="right"/>
    </xf>
    <xf numFmtId="169" fontId="17" fillId="0" borderId="1" xfId="0" applyNumberFormat="1" applyFont="1" applyBorder="1"/>
    <xf numFmtId="0" fontId="17" fillId="0" borderId="1" xfId="0" applyFont="1" applyBorder="1" applyAlignment="1">
      <alignment horizontal="right" vertical="center"/>
    </xf>
    <xf numFmtId="165" fontId="15" fillId="0" borderId="0" xfId="1" applyBorder="1" applyProtection="1"/>
    <xf numFmtId="0" fontId="17" fillId="0" borderId="0" xfId="0" applyFont="1" applyAlignment="1">
      <alignment vertical="center"/>
    </xf>
    <xf numFmtId="165" fontId="14" fillId="0" borderId="0" xfId="2" applyNumberFormat="1" applyFont="1" applyBorder="1" applyAlignment="1" applyProtection="1">
      <alignment vertical="center"/>
    </xf>
    <xf numFmtId="165" fontId="2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43" fontId="2" fillId="0" borderId="0" xfId="0" applyNumberFormat="1" applyFont="1" applyAlignment="1">
      <alignment vertical="center"/>
    </xf>
    <xf numFmtId="43" fontId="0" fillId="0" borderId="0" xfId="0" applyNumberFormat="1" applyAlignment="1">
      <alignment vertical="center"/>
    </xf>
    <xf numFmtId="0" fontId="17" fillId="7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4" fontId="11" fillId="0" borderId="0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169" fontId="10" fillId="0" borderId="0" xfId="1" applyNumberFormat="1" applyFont="1" applyFill="1" applyBorder="1" applyAlignment="1" applyProtection="1">
      <alignment horizontal="center" vertical="center" wrapText="1"/>
    </xf>
    <xf numFmtId="169" fontId="10" fillId="0" borderId="0" xfId="0" applyNumberFormat="1" applyFont="1" applyFill="1" applyBorder="1" applyAlignment="1">
      <alignment horizontal="center" vertical="center" wrapText="1"/>
    </xf>
    <xf numFmtId="169" fontId="20" fillId="0" borderId="0" xfId="1" applyNumberFormat="1" applyFont="1" applyFill="1" applyBorder="1" applyAlignment="1">
      <alignment horizontal="center" vertical="center" wrapText="1"/>
    </xf>
    <xf numFmtId="165" fontId="17" fillId="0" borderId="0" xfId="1" applyFont="1" applyFill="1" applyBorder="1" applyAlignment="1">
      <alignment horizontal="center" vertical="center"/>
    </xf>
    <xf numFmtId="165" fontId="23" fillId="0" borderId="0" xfId="2" applyNumberFormat="1" applyFont="1" applyFill="1" applyBorder="1" applyAlignment="1" applyProtection="1">
      <alignment horizontal="center" vertical="center"/>
    </xf>
    <xf numFmtId="168" fontId="2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165" fontId="17" fillId="3" borderId="1" xfId="1" applyFont="1" applyFill="1" applyBorder="1" applyAlignment="1" applyProtection="1">
      <alignment vertical="center"/>
    </xf>
    <xf numFmtId="165" fontId="17" fillId="0" borderId="1" xfId="1" applyFont="1" applyBorder="1" applyProtection="1"/>
    <xf numFmtId="169" fontId="17" fillId="0" borderId="1" xfId="0" applyNumberFormat="1" applyFont="1" applyBorder="1" applyAlignment="1">
      <alignment vertical="center"/>
    </xf>
    <xf numFmtId="0" fontId="17" fillId="0" borderId="9" xfId="0" applyFont="1" applyBorder="1" applyAlignment="1"/>
    <xf numFmtId="0" fontId="17" fillId="0" borderId="1" xfId="0" applyFont="1" applyBorder="1" applyAlignment="1"/>
    <xf numFmtId="0" fontId="17" fillId="0" borderId="14" xfId="0" applyFont="1" applyBorder="1" applyAlignment="1">
      <alignment vertical="center"/>
    </xf>
    <xf numFmtId="0" fontId="17" fillId="0" borderId="0" xfId="0" applyFont="1"/>
    <xf numFmtId="0" fontId="24" fillId="5" borderId="0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165" fontId="15" fillId="0" borderId="0" xfId="1"/>
    <xf numFmtId="4" fontId="11" fillId="5" borderId="1" xfId="0" applyNumberFormat="1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165" fontId="17" fillId="5" borderId="1" xfId="1" applyFont="1" applyFill="1" applyBorder="1" applyAlignment="1">
      <alignment horizontal="center" vertical="center"/>
    </xf>
    <xf numFmtId="165" fontId="23" fillId="5" borderId="1" xfId="2" applyNumberFormat="1" applyFont="1" applyFill="1" applyBorder="1" applyAlignment="1" applyProtection="1">
      <alignment horizontal="center" vertical="center"/>
    </xf>
    <xf numFmtId="168" fontId="24" fillId="3" borderId="2" xfId="0" applyNumberFormat="1" applyFont="1" applyFill="1" applyBorder="1" applyAlignment="1">
      <alignment horizontal="center" vertical="center"/>
    </xf>
    <xf numFmtId="168" fontId="24" fillId="3" borderId="4" xfId="0" applyNumberFormat="1" applyFont="1" applyFill="1" applyBorder="1" applyAlignment="1">
      <alignment horizontal="center" vertical="center"/>
    </xf>
    <xf numFmtId="168" fontId="24" fillId="3" borderId="5" xfId="0" applyNumberFormat="1" applyFont="1" applyFill="1" applyBorder="1" applyAlignment="1">
      <alignment horizontal="center" vertical="center"/>
    </xf>
    <xf numFmtId="165" fontId="17" fillId="3" borderId="1" xfId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7" fillId="6" borderId="1" xfId="3" applyFont="1" applyFill="1" applyBorder="1" applyAlignment="1" applyProtection="1">
      <alignment horizontal="center" vertical="center" wrapText="1"/>
      <protection locked="0"/>
    </xf>
    <xf numFmtId="0" fontId="17" fillId="0" borderId="1" xfId="0" applyFont="1" applyBorder="1" applyAlignment="1">
      <alignment horizontal="righ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8" fontId="24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7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7" fillId="0" borderId="7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24" fillId="5" borderId="1" xfId="0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169" fontId="17" fillId="0" borderId="1" xfId="1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center"/>
    </xf>
    <xf numFmtId="164" fontId="20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9" fontId="17" fillId="0" borderId="1" xfId="0" applyNumberFormat="1" applyFont="1" applyBorder="1" applyAlignment="1">
      <alignment horizontal="center" vertical="center"/>
    </xf>
  </cellXfs>
  <cellStyles count="5">
    <cellStyle name="Hiperlink" xfId="2" builtinId="8"/>
    <cellStyle name="Moeda" xfId="1" builtinId="4"/>
    <cellStyle name="Normal" xfId="0" builtinId="0"/>
    <cellStyle name="Normal 2" xfId="3" xr:uid="{00000000-0005-0000-0000-000006000000}"/>
    <cellStyle name="Normal 2 2" xfId="4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314280</xdr:colOff>
      <xdr:row>0</xdr:row>
      <xdr:rowOff>0</xdr:rowOff>
    </xdr:from>
    <xdr:to>
      <xdr:col>17</xdr:col>
      <xdr:colOff>407160</xdr:colOff>
      <xdr:row>1</xdr:row>
      <xdr:rowOff>14314</xdr:rowOff>
    </xdr:to>
    <xdr:sp macro="" textlink="">
      <xdr:nvSpPr>
        <xdr:cNvPr id="2" name="Text Box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6090920" y="220320"/>
          <a:ext cx="92880" cy="21672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17</xdr:col>
      <xdr:colOff>314280</xdr:colOff>
      <xdr:row>0</xdr:row>
      <xdr:rowOff>0</xdr:rowOff>
    </xdr:from>
    <xdr:to>
      <xdr:col>17</xdr:col>
      <xdr:colOff>407160</xdr:colOff>
      <xdr:row>1</xdr:row>
      <xdr:rowOff>14314</xdr:rowOff>
    </xdr:to>
    <xdr:sp macro="" textlink="">
      <xdr:nvSpPr>
        <xdr:cNvPr id="3" name="Text Box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6090920" y="220320"/>
          <a:ext cx="92880" cy="21672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17</xdr:col>
      <xdr:colOff>314280</xdr:colOff>
      <xdr:row>0</xdr:row>
      <xdr:rowOff>0</xdr:rowOff>
    </xdr:from>
    <xdr:to>
      <xdr:col>17</xdr:col>
      <xdr:colOff>407160</xdr:colOff>
      <xdr:row>1</xdr:row>
      <xdr:rowOff>14314</xdr:rowOff>
    </xdr:to>
    <xdr:sp macro="" textlink="">
      <xdr:nvSpPr>
        <xdr:cNvPr id="4" name="Text Box 3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6090920" y="220320"/>
          <a:ext cx="92880" cy="21672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17</xdr:col>
      <xdr:colOff>314280</xdr:colOff>
      <xdr:row>0</xdr:row>
      <xdr:rowOff>0</xdr:rowOff>
    </xdr:from>
    <xdr:to>
      <xdr:col>17</xdr:col>
      <xdr:colOff>407160</xdr:colOff>
      <xdr:row>1</xdr:row>
      <xdr:rowOff>14314</xdr:rowOff>
    </xdr:to>
    <xdr:sp macro="" textlink="">
      <xdr:nvSpPr>
        <xdr:cNvPr id="5" name="Text Box 3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6090920" y="220320"/>
          <a:ext cx="92880" cy="21672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85725</xdr:rowOff>
    </xdr:from>
    <xdr:to>
      <xdr:col>4</xdr:col>
      <xdr:colOff>895985</xdr:colOff>
      <xdr:row>5</xdr:row>
      <xdr:rowOff>74295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0E095CF-C795-4A57-88BD-6E4AA1B42BB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85725"/>
          <a:ext cx="5315585" cy="79819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106</xdr:row>
      <xdr:rowOff>28575</xdr:rowOff>
    </xdr:from>
    <xdr:to>
      <xdr:col>5</xdr:col>
      <xdr:colOff>516890</xdr:colOff>
      <xdr:row>112</xdr:row>
      <xdr:rowOff>68580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71EB018-0642-4188-BFCD-D993589D76E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8716625"/>
          <a:ext cx="5431790" cy="1011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288"/>
  <sheetViews>
    <sheetView tabSelected="1" topLeftCell="A237" zoomScale="90" zoomScaleNormal="90" zoomScaleSheetLayoutView="115" zoomScalePageLayoutView="80" workbookViewId="0">
      <selection activeCell="M262" sqref="M262"/>
    </sheetView>
  </sheetViews>
  <sheetFormatPr defaultColWidth="9" defaultRowHeight="12.75" x14ac:dyDescent="0.2"/>
  <cols>
    <col min="1" max="1" width="13.42578125" style="1" customWidth="1"/>
    <col min="2" max="2" width="17.85546875" style="16" customWidth="1"/>
    <col min="3" max="3" width="6.28515625" style="16" customWidth="1"/>
    <col min="4" max="5" width="16.85546875" style="16" customWidth="1"/>
    <col min="6" max="6" width="15.5703125" style="24" bestFit="1" customWidth="1"/>
    <col min="7" max="7" width="13.28515625" style="24" customWidth="1"/>
    <col min="8" max="8" width="15.42578125" style="24" bestFit="1" customWidth="1"/>
    <col min="9" max="9" width="16.28515625" style="24" customWidth="1"/>
    <col min="10" max="10" width="16.85546875" style="24" customWidth="1"/>
    <col min="11" max="11" width="14.7109375" style="24" customWidth="1"/>
    <col min="12" max="12" width="17.42578125" style="2" customWidth="1"/>
    <col min="13" max="13" width="16.85546875" style="2" customWidth="1"/>
    <col min="14" max="14" width="16.5703125" style="3" customWidth="1"/>
    <col min="15" max="15" width="18.140625" style="2" customWidth="1"/>
    <col min="16" max="16" width="18" style="25" customWidth="1"/>
    <col min="17" max="17" width="9" style="13"/>
    <col min="18" max="18" width="17" style="13" bestFit="1" customWidth="1"/>
    <col min="19" max="19" width="12" style="13" bestFit="1" customWidth="1"/>
    <col min="20" max="22" width="9" style="13"/>
    <col min="23" max="23" width="17" style="13" bestFit="1" customWidth="1"/>
    <col min="24" max="16384" width="9" style="13"/>
  </cols>
  <sheetData>
    <row r="1" spans="1:1023" s="20" customFormat="1" ht="15.75" x14ac:dyDescent="0.2">
      <c r="A1" s="118" t="s">
        <v>22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</row>
    <row r="2" spans="1:1023" s="20" customFormat="1" ht="15.75" x14ac:dyDescent="0.2">
      <c r="A2" s="119" t="s">
        <v>30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</row>
    <row r="3" spans="1:1023" s="20" customFormat="1" ht="15.75" x14ac:dyDescent="0.2">
      <c r="A3" s="115" t="s">
        <v>23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7"/>
    </row>
    <row r="4" spans="1:1023" x14ac:dyDescent="0.2">
      <c r="A4" s="44" t="s">
        <v>0</v>
      </c>
      <c r="B4" s="44" t="s">
        <v>1</v>
      </c>
      <c r="C4" s="77" t="s">
        <v>100</v>
      </c>
      <c r="D4" s="44" t="s">
        <v>2</v>
      </c>
      <c r="E4" s="112" t="s">
        <v>3</v>
      </c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</row>
    <row r="5" spans="1:1023" ht="27" customHeight="1" x14ac:dyDescent="0.2">
      <c r="A5" s="26">
        <v>1</v>
      </c>
      <c r="B5" s="26">
        <v>1</v>
      </c>
      <c r="C5" s="78"/>
      <c r="D5" s="27" t="s">
        <v>27</v>
      </c>
      <c r="E5" s="113" t="s">
        <v>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</row>
    <row r="6" spans="1:1023" s="14" customFormat="1" ht="22.5" x14ac:dyDescent="0.2">
      <c r="A6" s="28" t="s">
        <v>4</v>
      </c>
      <c r="B6" s="28" t="s">
        <v>5</v>
      </c>
      <c r="C6" s="28"/>
      <c r="D6" s="28" t="s">
        <v>6</v>
      </c>
      <c r="E6" s="29" t="s">
        <v>7</v>
      </c>
      <c r="F6" s="30">
        <v>0.25</v>
      </c>
      <c r="G6" s="28" t="s">
        <v>8</v>
      </c>
      <c r="H6" s="28" t="s">
        <v>6</v>
      </c>
      <c r="I6" s="29" t="s">
        <v>7</v>
      </c>
      <c r="J6" s="31">
        <v>0.75</v>
      </c>
      <c r="K6" s="28" t="s">
        <v>8</v>
      </c>
      <c r="L6" s="7" t="s">
        <v>17</v>
      </c>
      <c r="M6" s="32" t="s">
        <v>13</v>
      </c>
      <c r="N6" s="32" t="s">
        <v>14</v>
      </c>
      <c r="O6" s="6" t="s">
        <v>16</v>
      </c>
      <c r="P6" s="28" t="s">
        <v>9</v>
      </c>
      <c r="Q6" s="4"/>
      <c r="R6" s="4"/>
      <c r="S6" s="4"/>
      <c r="AMI6" s="13"/>
    </row>
    <row r="7" spans="1:1023" s="16" customFormat="1" x14ac:dyDescent="0.2">
      <c r="A7" s="43" t="s">
        <v>10</v>
      </c>
      <c r="B7" s="33" t="s">
        <v>18</v>
      </c>
      <c r="C7" s="33"/>
      <c r="D7" s="42" t="s">
        <v>18</v>
      </c>
      <c r="E7" s="39" t="str">
        <f>IF(D7="-","-",AVERAGE(D$8:D$20))</f>
        <v>-</v>
      </c>
      <c r="F7" s="39" t="str">
        <f>IF(D7="-","-",(E7*25%)+E7)</f>
        <v>-</v>
      </c>
      <c r="G7" s="38" t="str">
        <f>IF(F7="-","-",IF(D7&gt;F7,"EXCESSIVAMENTE ELEVADO","VÁLIDO"))</f>
        <v>-</v>
      </c>
      <c r="H7" s="41" t="str">
        <f t="shared" ref="H7:H11" si="0">IF(G7="EXCESSIVAMENTE ELEVADO","-",D7)</f>
        <v>-</v>
      </c>
      <c r="I7" s="39" t="str">
        <f>IF(H7="-","-",AVERAGE(H$8:H$20))</f>
        <v>-</v>
      </c>
      <c r="J7" s="40" t="str">
        <f>IF(I7="-","-",I7*75%)</f>
        <v>-</v>
      </c>
      <c r="K7" s="41" t="str">
        <f>IF(J7="-","-",IF(H7&lt;J7,"INEXEQUÍVEL","VÁLIDO"))</f>
        <v>-</v>
      </c>
      <c r="L7" s="111">
        <f>AVERAGEIF(K7:K20,"VÁLIDO",H7:H20)</f>
        <v>303096.16666666669</v>
      </c>
      <c r="M7" s="106" cm="1">
        <f t="array" ref="M7">MEDIAN(IF(K7:K20="VÁLIDO",H7:H20))</f>
        <v>311878.875</v>
      </c>
      <c r="N7" s="107" cm="1">
        <f t="array" ref="N7">MIN(IF(K7:K20="VÁLIDO",H7:H20))</f>
        <v>236489.25</v>
      </c>
      <c r="O7" s="120">
        <f>L7</f>
        <v>303096.16666666669</v>
      </c>
      <c r="P7" s="106">
        <f>B5*O7</f>
        <v>303096.16666666669</v>
      </c>
      <c r="Q7" s="15"/>
      <c r="R7" s="15"/>
      <c r="S7" s="5"/>
      <c r="AMI7" s="13"/>
    </row>
    <row r="8" spans="1:1023" s="16" customFormat="1" ht="22.5" x14ac:dyDescent="0.2">
      <c r="A8" s="46" t="s">
        <v>11</v>
      </c>
      <c r="B8" s="33" t="s">
        <v>101</v>
      </c>
      <c r="C8" s="97" t="s">
        <v>111</v>
      </c>
      <c r="D8" s="42">
        <v>236489.25</v>
      </c>
      <c r="E8" s="39">
        <f>IF(D8="-","-",AVERAGE(D$7:D7,D9:D$20))</f>
        <v>316417.55</v>
      </c>
      <c r="F8" s="39">
        <f t="shared" ref="F8:F9" si="1">IF(D8="-","-",(E8*25%)+E8)</f>
        <v>395521.9375</v>
      </c>
      <c r="G8" s="38" t="str">
        <f t="shared" ref="G8:G11" si="2">IF(F8="-","-",IF(D8&gt;F8,"EXCESSIVAMENTE ELEVADO","VÁLIDO"))</f>
        <v>VÁLIDO</v>
      </c>
      <c r="H8" s="41">
        <f t="shared" si="0"/>
        <v>236489.25</v>
      </c>
      <c r="I8" s="39">
        <f>IF(H8="-","-",AVERAGE(H$7:H7,H9:H$20))</f>
        <v>316417.55</v>
      </c>
      <c r="J8" s="40">
        <f t="shared" ref="J8:J9" si="3">IF(I8="-","-",I8*75%)</f>
        <v>237313.16249999998</v>
      </c>
      <c r="K8" s="41" t="s">
        <v>40</v>
      </c>
      <c r="L8" s="111"/>
      <c r="M8" s="106"/>
      <c r="N8" s="107"/>
      <c r="O8" s="120"/>
      <c r="P8" s="106"/>
      <c r="Q8" s="15"/>
      <c r="R8" s="15"/>
      <c r="S8" s="5"/>
      <c r="AMI8" s="13"/>
    </row>
    <row r="9" spans="1:1023" s="16" customFormat="1" x14ac:dyDescent="0.2">
      <c r="A9" s="46" t="s">
        <v>11</v>
      </c>
      <c r="B9" s="33" t="s">
        <v>18</v>
      </c>
      <c r="C9" s="33"/>
      <c r="D9" s="42" t="s">
        <v>18</v>
      </c>
      <c r="E9" s="39" t="str">
        <f>IF(D9="-","-",AVERAGE(D$7:D8,D10:D$20))</f>
        <v>-</v>
      </c>
      <c r="F9" s="39" t="str">
        <f t="shared" si="1"/>
        <v>-</v>
      </c>
      <c r="G9" s="38" t="str">
        <f t="shared" si="2"/>
        <v>-</v>
      </c>
      <c r="H9" s="41" t="str">
        <f t="shared" si="0"/>
        <v>-</v>
      </c>
      <c r="I9" s="39" t="str">
        <f>IF(H9="-","-",AVERAGE(H$7:H8,H10:H$20))</f>
        <v>-</v>
      </c>
      <c r="J9" s="40" t="str">
        <f t="shared" si="3"/>
        <v>-</v>
      </c>
      <c r="K9" s="41" t="str">
        <f t="shared" ref="K9" si="4">IF(J9="-","-",IF(H9&lt;J9,"INEXEQUÍVEL","VÁLIDO"))</f>
        <v>-</v>
      </c>
      <c r="L9" s="111"/>
      <c r="M9" s="106"/>
      <c r="N9" s="107"/>
      <c r="O9" s="120"/>
      <c r="P9" s="106"/>
      <c r="Q9" s="15"/>
      <c r="R9" s="15"/>
      <c r="S9" s="5"/>
      <c r="AMI9" s="13"/>
    </row>
    <row r="10" spans="1:1023" s="16" customFormat="1" x14ac:dyDescent="0.2">
      <c r="A10" s="43" t="s">
        <v>11</v>
      </c>
      <c r="B10" s="33" t="s">
        <v>18</v>
      </c>
      <c r="C10" s="33"/>
      <c r="D10" s="42" t="s">
        <v>18</v>
      </c>
      <c r="E10" s="39" t="str">
        <f>IF(D10="-","-",AVERAGE(D$7:D9,D11:D$20))</f>
        <v>-</v>
      </c>
      <c r="F10" s="39" t="str">
        <f t="shared" ref="F10:F20" si="5">IF(D10="-","-",(E10*25%)+E10)</f>
        <v>-</v>
      </c>
      <c r="G10" s="38" t="str">
        <f t="shared" si="2"/>
        <v>-</v>
      </c>
      <c r="H10" s="41" t="str">
        <f t="shared" si="0"/>
        <v>-</v>
      </c>
      <c r="I10" s="39" t="str">
        <f>IF(H10="-","-",AVERAGE(H$7:H9,H11:H$20))</f>
        <v>-</v>
      </c>
      <c r="J10" s="40" t="str">
        <f t="shared" ref="J10:J19" si="6">IF(I10="-","-",I10*75%)</f>
        <v>-</v>
      </c>
      <c r="K10" s="41" t="str">
        <f t="shared" ref="K10" si="7">IF(J10="-","-",IF(H10&lt;J10,"INEXEQUÍVEL","VÁLIDO"))</f>
        <v>-</v>
      </c>
      <c r="L10" s="111"/>
      <c r="M10" s="106"/>
      <c r="N10" s="107"/>
      <c r="O10" s="120"/>
      <c r="P10" s="106"/>
      <c r="Q10" s="15"/>
      <c r="R10" s="70"/>
      <c r="S10" s="5"/>
      <c r="AMI10" s="13"/>
    </row>
    <row r="11" spans="1:1023" s="16" customFormat="1" ht="12.75" customHeight="1" x14ac:dyDescent="0.2">
      <c r="A11" s="37" t="s">
        <v>12</v>
      </c>
      <c r="B11" s="33" t="s">
        <v>18</v>
      </c>
      <c r="C11" s="33"/>
      <c r="D11" s="42" t="s">
        <v>18</v>
      </c>
      <c r="E11" s="39" t="str">
        <f>IF(D11="-","-",AVERAGE(D$7:D10,D12:D$20))</f>
        <v>-</v>
      </c>
      <c r="F11" s="39" t="str">
        <f t="shared" si="5"/>
        <v>-</v>
      </c>
      <c r="G11" s="38" t="str">
        <f t="shared" si="2"/>
        <v>-</v>
      </c>
      <c r="H11" s="41" t="str">
        <f t="shared" si="0"/>
        <v>-</v>
      </c>
      <c r="I11" s="39" t="str">
        <f>IF(H11="-","-",AVERAGE(H$7:H10,H12:H$20))</f>
        <v>-</v>
      </c>
      <c r="J11" s="40" t="str">
        <f t="shared" si="6"/>
        <v>-</v>
      </c>
      <c r="K11" s="41" t="str">
        <f t="shared" ref="K11:K20" si="8">IF(J11="-","-",IF(H11&lt;J11,"INEXEQUÍVEL","VÁLIDO"))</f>
        <v>-</v>
      </c>
      <c r="L11" s="111"/>
      <c r="M11" s="106"/>
      <c r="N11" s="107"/>
      <c r="O11" s="120"/>
      <c r="P11" s="106"/>
      <c r="AMI11" s="13"/>
    </row>
    <row r="12" spans="1:1023" s="16" customFormat="1" ht="22.5" customHeight="1" x14ac:dyDescent="0.2">
      <c r="A12" s="99" t="s">
        <v>15</v>
      </c>
      <c r="B12" s="33" t="s">
        <v>31</v>
      </c>
      <c r="C12" s="33">
        <v>169</v>
      </c>
      <c r="D12" s="42">
        <v>318357.75</v>
      </c>
      <c r="E12" s="39">
        <f>IF(D12="-","-",AVERAGE(D$7:D11,D13:D$20))</f>
        <v>300043.84999999998</v>
      </c>
      <c r="F12" s="39">
        <f t="shared" si="5"/>
        <v>375054.8125</v>
      </c>
      <c r="G12" s="38" t="str">
        <f>IF(F12="-","-",IF(D12&gt;F12,"EXCESSIVAMENTE ELEVADO","VÁLIDO"))</f>
        <v>VÁLIDO</v>
      </c>
      <c r="H12" s="41">
        <f t="shared" ref="H12:H20" si="9">IF(G12="EXCESSIVAMENTE ELEVADO","-",D12)</f>
        <v>318357.75</v>
      </c>
      <c r="I12" s="39">
        <f>IF(H12="-","-",AVERAGE(H$7:H11,H13:H$20))</f>
        <v>300043.84999999998</v>
      </c>
      <c r="J12" s="40">
        <f t="shared" si="6"/>
        <v>225032.88749999998</v>
      </c>
      <c r="K12" s="41" t="str">
        <f t="shared" si="8"/>
        <v>VÁLIDO</v>
      </c>
      <c r="L12" s="111"/>
      <c r="M12" s="106"/>
      <c r="N12" s="107"/>
      <c r="O12" s="120"/>
      <c r="P12" s="106"/>
      <c r="R12" s="71"/>
      <c r="AMI12" s="13"/>
    </row>
    <row r="13" spans="1:1023" s="16" customFormat="1" ht="22.5" x14ac:dyDescent="0.2">
      <c r="A13" s="99"/>
      <c r="B13" s="33" t="s">
        <v>32</v>
      </c>
      <c r="C13" s="33">
        <v>175</v>
      </c>
      <c r="D13" s="47">
        <v>305400</v>
      </c>
      <c r="E13" s="39">
        <f>IF(D13="-","-",AVERAGE(D$7:D12,D14:D$20))</f>
        <v>302635.40000000002</v>
      </c>
      <c r="F13" s="39">
        <f t="shared" si="5"/>
        <v>378294.25</v>
      </c>
      <c r="G13" s="38" t="str">
        <f t="shared" ref="G13:G20" si="10">IF(F13="-","-",IF(D13&gt;F13,"EXCESSIVAMENTE ELEVADO","VÁLIDO"))</f>
        <v>VÁLIDO</v>
      </c>
      <c r="H13" s="41">
        <f t="shared" si="9"/>
        <v>305400</v>
      </c>
      <c r="I13" s="39">
        <f>IF(H13="-","-",AVERAGE(H$7:H12,H14:H$20))</f>
        <v>302635.40000000002</v>
      </c>
      <c r="J13" s="40">
        <f t="shared" si="6"/>
        <v>226976.55000000002</v>
      </c>
      <c r="K13" s="41" t="str">
        <f t="shared" si="8"/>
        <v>VÁLIDO</v>
      </c>
      <c r="L13" s="111"/>
      <c r="M13" s="106"/>
      <c r="N13" s="107"/>
      <c r="O13" s="120"/>
      <c r="P13" s="106"/>
      <c r="AMI13" s="13"/>
    </row>
    <row r="14" spans="1:1023" s="16" customFormat="1" ht="22.5" x14ac:dyDescent="0.2">
      <c r="A14" s="99"/>
      <c r="B14" s="33" t="s">
        <v>34</v>
      </c>
      <c r="C14" s="33">
        <v>182</v>
      </c>
      <c r="D14" s="42">
        <v>304500</v>
      </c>
      <c r="E14" s="39">
        <f>IF(D14="-","-",AVERAGE(D$7:D13,D15:D$20))</f>
        <v>302815.40000000002</v>
      </c>
      <c r="F14" s="39">
        <f>IF(D14="-","-",(E14*25%)+E14)</f>
        <v>378519.25</v>
      </c>
      <c r="G14" s="38" t="str">
        <f>IF(F14="-","-",IF(D14&gt;F14,"EXCESSIVAMENTE ELEVADO","VÁLIDO"))</f>
        <v>VÁLIDO</v>
      </c>
      <c r="H14" s="41">
        <f>IF(G14="EXCESSIVAMENTE ELEVADO","-",D14)</f>
        <v>304500</v>
      </c>
      <c r="I14" s="39">
        <f>IF(H14="-","-",AVERAGE(H$7:H13,H15:H$20))</f>
        <v>302815.40000000002</v>
      </c>
      <c r="J14" s="40">
        <f t="shared" si="6"/>
        <v>227111.55000000002</v>
      </c>
      <c r="K14" s="41" t="str">
        <f t="shared" si="8"/>
        <v>VÁLIDO</v>
      </c>
      <c r="L14" s="111"/>
      <c r="M14" s="106"/>
      <c r="N14" s="107"/>
      <c r="O14" s="120"/>
      <c r="P14" s="106"/>
      <c r="AMI14" s="13"/>
    </row>
    <row r="15" spans="1:1023" s="16" customFormat="1" ht="22.5" x14ac:dyDescent="0.2">
      <c r="A15" s="99"/>
      <c r="B15" s="33" t="s">
        <v>33</v>
      </c>
      <c r="C15" s="33">
        <v>188</v>
      </c>
      <c r="D15" s="42">
        <v>324170</v>
      </c>
      <c r="E15" s="39">
        <f>IF(D15="-","-",AVERAGE(D$7:D14,D16:D$20))</f>
        <v>298881.40000000002</v>
      </c>
      <c r="F15" s="39">
        <f t="shared" si="5"/>
        <v>373601.75</v>
      </c>
      <c r="G15" s="38" t="str">
        <f t="shared" si="10"/>
        <v>VÁLIDO</v>
      </c>
      <c r="H15" s="41">
        <f t="shared" si="9"/>
        <v>324170</v>
      </c>
      <c r="I15" s="39">
        <f>IF(H15="-","-",AVERAGE(H$7:H14,H16:H$20))</f>
        <v>298881.40000000002</v>
      </c>
      <c r="J15" s="40">
        <f>IF(I15="-","-",I15*75%)</f>
        <v>224161.05000000002</v>
      </c>
      <c r="K15" s="41" t="str">
        <f t="shared" si="8"/>
        <v>VÁLIDO</v>
      </c>
      <c r="L15" s="111"/>
      <c r="M15" s="106"/>
      <c r="N15" s="107"/>
      <c r="O15" s="120"/>
      <c r="P15" s="106"/>
      <c r="AMI15" s="13"/>
    </row>
    <row r="16" spans="1:1023" s="16" customFormat="1" ht="22.5" x14ac:dyDescent="0.2">
      <c r="A16" s="99"/>
      <c r="B16" s="33" t="s">
        <v>35</v>
      </c>
      <c r="C16" s="33">
        <v>195</v>
      </c>
      <c r="D16" s="42">
        <v>329660</v>
      </c>
      <c r="E16" s="39">
        <f>IF(D16="-","-",AVERAGE(D$7:D15,D17:D$20))</f>
        <v>297783.40000000002</v>
      </c>
      <c r="F16" s="39">
        <f t="shared" si="5"/>
        <v>372229.25</v>
      </c>
      <c r="G16" s="38" t="str">
        <f t="shared" si="10"/>
        <v>VÁLIDO</v>
      </c>
      <c r="H16" s="41">
        <f t="shared" si="9"/>
        <v>329660</v>
      </c>
      <c r="I16" s="39">
        <f>IF(H16="-","-",AVERAGE(H$7:H15,H17:H$20))</f>
        <v>297783.40000000002</v>
      </c>
      <c r="J16" s="40">
        <f t="shared" si="6"/>
        <v>223337.55000000002</v>
      </c>
      <c r="K16" s="41" t="str">
        <f t="shared" si="8"/>
        <v>VÁLIDO</v>
      </c>
      <c r="L16" s="111"/>
      <c r="M16" s="106"/>
      <c r="N16" s="107"/>
      <c r="O16" s="120"/>
      <c r="P16" s="106"/>
      <c r="AMI16" s="13"/>
    </row>
    <row r="17" spans="1:1024" s="16" customFormat="1" ht="22.5" x14ac:dyDescent="0.2">
      <c r="A17" s="99"/>
      <c r="B17" s="33" t="s">
        <v>19</v>
      </c>
      <c r="C17" s="33"/>
      <c r="D17" s="42" t="s">
        <v>18</v>
      </c>
      <c r="E17" s="39" t="str">
        <f>IF(D17="-","-",AVERAGE(D$7:D16,D18:D$20))</f>
        <v>-</v>
      </c>
      <c r="F17" s="39" t="str">
        <f t="shared" si="5"/>
        <v>-</v>
      </c>
      <c r="G17" s="38" t="str">
        <f t="shared" si="10"/>
        <v>-</v>
      </c>
      <c r="H17" s="41" t="str">
        <f t="shared" si="9"/>
        <v>-</v>
      </c>
      <c r="I17" s="39" t="str">
        <f>IF(H17="-","-",AVERAGE(H$7:H16,H18:H$20))</f>
        <v>-</v>
      </c>
      <c r="J17" s="40" t="str">
        <f t="shared" si="6"/>
        <v>-</v>
      </c>
      <c r="K17" s="41" t="str">
        <f t="shared" si="8"/>
        <v>-</v>
      </c>
      <c r="L17" s="111"/>
      <c r="M17" s="106"/>
      <c r="N17" s="107"/>
      <c r="O17" s="120"/>
      <c r="P17" s="106"/>
      <c r="AMI17" s="13"/>
    </row>
    <row r="18" spans="1:1024" s="16" customFormat="1" ht="22.5" x14ac:dyDescent="0.2">
      <c r="A18" s="99"/>
      <c r="B18" s="33" t="s">
        <v>19</v>
      </c>
      <c r="C18" s="33"/>
      <c r="D18" s="42" t="s">
        <v>18</v>
      </c>
      <c r="E18" s="39" t="str">
        <f>IF(D18="-","-",AVERAGE(D$7:D17,D19:D$20))</f>
        <v>-</v>
      </c>
      <c r="F18" s="39" t="str">
        <f t="shared" si="5"/>
        <v>-</v>
      </c>
      <c r="G18" s="38" t="str">
        <f t="shared" si="10"/>
        <v>-</v>
      </c>
      <c r="H18" s="41" t="str">
        <f t="shared" si="9"/>
        <v>-</v>
      </c>
      <c r="I18" s="39" t="str">
        <f>IF(H18="-","-",AVERAGE(H$7:H17,H19:H$20))</f>
        <v>-</v>
      </c>
      <c r="J18" s="40" t="str">
        <f t="shared" si="6"/>
        <v>-</v>
      </c>
      <c r="K18" s="41" t="str">
        <f t="shared" si="8"/>
        <v>-</v>
      </c>
      <c r="L18" s="111"/>
      <c r="M18" s="106"/>
      <c r="N18" s="107"/>
      <c r="O18" s="120"/>
      <c r="P18" s="106"/>
      <c r="AMI18" s="13"/>
    </row>
    <row r="19" spans="1:1024" s="16" customFormat="1" ht="22.5" x14ac:dyDescent="0.2">
      <c r="A19" s="99"/>
      <c r="B19" s="33" t="s">
        <v>19</v>
      </c>
      <c r="C19" s="33"/>
      <c r="D19" s="42" t="s">
        <v>18</v>
      </c>
      <c r="E19" s="39" t="str">
        <f>IF(D19="-","-",AVERAGE(D$7:D18,D20:D$20))</f>
        <v>-</v>
      </c>
      <c r="F19" s="39" t="str">
        <f t="shared" si="5"/>
        <v>-</v>
      </c>
      <c r="G19" s="38" t="str">
        <f t="shared" si="10"/>
        <v>-</v>
      </c>
      <c r="H19" s="41" t="str">
        <f t="shared" si="9"/>
        <v>-</v>
      </c>
      <c r="I19" s="39" t="str">
        <f>IF(H19="-","-",AVERAGE(H$7:H18,H20:H$20))</f>
        <v>-</v>
      </c>
      <c r="J19" s="40" t="str">
        <f t="shared" si="6"/>
        <v>-</v>
      </c>
      <c r="K19" s="41" t="str">
        <f t="shared" si="8"/>
        <v>-</v>
      </c>
      <c r="L19" s="111"/>
      <c r="M19" s="106"/>
      <c r="N19" s="107"/>
      <c r="O19" s="120"/>
      <c r="P19" s="106"/>
      <c r="AMI19" s="13"/>
    </row>
    <row r="20" spans="1:1024" s="16" customFormat="1" ht="22.5" x14ac:dyDescent="0.2">
      <c r="A20" s="99"/>
      <c r="B20" s="33" t="s">
        <v>20</v>
      </c>
      <c r="C20" s="33"/>
      <c r="D20" s="42" t="s">
        <v>18</v>
      </c>
      <c r="E20" s="39" t="str">
        <f>IF(D20="-","-",AVERAGE(D$7:D19))</f>
        <v>-</v>
      </c>
      <c r="F20" s="39" t="str">
        <f t="shared" si="5"/>
        <v>-</v>
      </c>
      <c r="G20" s="38" t="str">
        <f t="shared" si="10"/>
        <v>-</v>
      </c>
      <c r="H20" s="41" t="str">
        <f t="shared" si="9"/>
        <v>-</v>
      </c>
      <c r="I20" s="39" t="str">
        <f>IF(H20="-","-",AVERAGE(H$7:H19))</f>
        <v>-</v>
      </c>
      <c r="J20" s="40" t="str">
        <f>IF(I20="-","-",I20*75%)</f>
        <v>-</v>
      </c>
      <c r="K20" s="41" t="str">
        <f t="shared" si="8"/>
        <v>-</v>
      </c>
      <c r="L20" s="111"/>
      <c r="M20" s="106"/>
      <c r="N20" s="107"/>
      <c r="O20" s="120"/>
      <c r="P20" s="106"/>
      <c r="AMI20" s="13"/>
    </row>
    <row r="21" spans="1:1024" s="18" customFormat="1" x14ac:dyDescent="0.2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AMJ21" s="19"/>
    </row>
    <row r="22" spans="1:1024" s="18" customFormat="1" x14ac:dyDescent="0.2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AMJ22" s="19"/>
    </row>
    <row r="23" spans="1:1024" s="18" customFormat="1" x14ac:dyDescent="0.2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AMJ23" s="19"/>
    </row>
    <row r="24" spans="1:1024" s="18" customFormat="1" x14ac:dyDescent="0.2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AMJ24" s="19"/>
    </row>
    <row r="25" spans="1:1024" x14ac:dyDescent="0.2">
      <c r="A25" s="73" t="s">
        <v>0</v>
      </c>
      <c r="B25" s="73" t="s">
        <v>1</v>
      </c>
      <c r="C25" s="73"/>
      <c r="D25" s="73" t="s">
        <v>2</v>
      </c>
      <c r="E25" s="112" t="s">
        <v>3</v>
      </c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</row>
    <row r="26" spans="1:1024" ht="27" customHeight="1" x14ac:dyDescent="0.2">
      <c r="A26" s="26">
        <v>2</v>
      </c>
      <c r="B26" s="26">
        <v>12</v>
      </c>
      <c r="C26" s="26"/>
      <c r="D26" s="27" t="s">
        <v>28</v>
      </c>
      <c r="E26" s="113" t="s">
        <v>25</v>
      </c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</row>
    <row r="27" spans="1:1024" s="14" customFormat="1" ht="22.5" x14ac:dyDescent="0.2">
      <c r="A27" s="28" t="s">
        <v>4</v>
      </c>
      <c r="B27" s="28" t="s">
        <v>5</v>
      </c>
      <c r="C27" s="28"/>
      <c r="D27" s="28" t="s">
        <v>6</v>
      </c>
      <c r="E27" s="29" t="s">
        <v>7</v>
      </c>
      <c r="F27" s="30">
        <v>0.25</v>
      </c>
      <c r="G27" s="28" t="s">
        <v>8</v>
      </c>
      <c r="H27" s="28" t="s">
        <v>6</v>
      </c>
      <c r="I27" s="29" t="s">
        <v>7</v>
      </c>
      <c r="J27" s="31">
        <v>0.75</v>
      </c>
      <c r="K27" s="28" t="s">
        <v>8</v>
      </c>
      <c r="L27" s="7" t="s">
        <v>17</v>
      </c>
      <c r="M27" s="32" t="s">
        <v>13</v>
      </c>
      <c r="N27" s="32" t="s">
        <v>14</v>
      </c>
      <c r="O27" s="6" t="s">
        <v>16</v>
      </c>
      <c r="P27" s="28" t="s">
        <v>9</v>
      </c>
      <c r="Q27" s="4"/>
      <c r="R27" s="4"/>
      <c r="S27" s="4"/>
      <c r="AMI27" s="13"/>
    </row>
    <row r="28" spans="1:1024" s="16" customFormat="1" ht="12.75" customHeight="1" x14ac:dyDescent="0.2">
      <c r="A28" s="35" t="s">
        <v>10</v>
      </c>
      <c r="B28" s="33" t="s">
        <v>18</v>
      </c>
      <c r="C28" s="33"/>
      <c r="D28" s="42" t="s">
        <v>18</v>
      </c>
      <c r="E28" s="41" t="str">
        <f>IF(D28="-","-",AVERAGE(D$29:D$41))</f>
        <v>-</v>
      </c>
      <c r="F28" s="41" t="str">
        <f>IF(D28="-","-",(E28*25%)+E28)</f>
        <v>-</v>
      </c>
      <c r="G28" s="41" t="str">
        <f t="shared" ref="G28:G41" si="11">IF(F28="-","-",IF(D28&gt;F28,"EXCESSIVAMENTE ELEVADO","VÁLIDO"))</f>
        <v>-</v>
      </c>
      <c r="H28" s="41" t="str">
        <f t="shared" ref="H28:H41" si="12">IF(G28="EXCESSIVAMENTE ELEVADO","-",D28)</f>
        <v>-</v>
      </c>
      <c r="I28" s="41" t="str">
        <f>IF(H28="-","-",AVERAGE(H$29:H$41))</f>
        <v>-</v>
      </c>
      <c r="J28" s="40" t="str">
        <f>IF(I28="-","-",I28*75%)</f>
        <v>-</v>
      </c>
      <c r="K28" s="41" t="str">
        <f>IF(J28="-","-",IF(H28&lt;J28,"INEXEQUÍVEL","VÁLIDO"))</f>
        <v>-</v>
      </c>
      <c r="L28" s="111">
        <f>AVERAGEIF(K28:K41,"VÁLIDO",H28:H41)</f>
        <v>134901.38</v>
      </c>
      <c r="M28" s="106" cm="1">
        <f t="array" ref="M28">MEDIAN(IF(K28:K41="VÁLIDO",H28:H41))</f>
        <v>149100</v>
      </c>
      <c r="N28" s="107" cm="1">
        <f t="array" ref="N28">MIN(IF(K28:K41="VÁLIDO",H28:H41))</f>
        <v>67638.600000000006</v>
      </c>
      <c r="O28" s="108">
        <f>L28</f>
        <v>134901.38</v>
      </c>
      <c r="P28" s="106">
        <f>B26*O28</f>
        <v>1618816.56</v>
      </c>
      <c r="Q28" s="15"/>
      <c r="R28" s="15"/>
      <c r="S28" s="5"/>
      <c r="AMI28" s="13"/>
    </row>
    <row r="29" spans="1:1024" s="16" customFormat="1" ht="38.25" customHeight="1" x14ac:dyDescent="0.2">
      <c r="A29" s="46" t="s">
        <v>11</v>
      </c>
      <c r="B29" s="33" t="s">
        <v>101</v>
      </c>
      <c r="C29" s="33" t="s">
        <v>112</v>
      </c>
      <c r="D29" s="42">
        <v>67638.600000000006</v>
      </c>
      <c r="E29" s="41">
        <f>IF(D29="-","-",AVERAGE(D$28:D28,D30:D$41))</f>
        <v>162438.06</v>
      </c>
      <c r="F29" s="41">
        <f>IF(D29="-","-",(E29*25%)+E29)</f>
        <v>203047.57500000001</v>
      </c>
      <c r="G29" s="41" t="str">
        <f t="shared" si="11"/>
        <v>VÁLIDO</v>
      </c>
      <c r="H29" s="41">
        <f t="shared" si="12"/>
        <v>67638.600000000006</v>
      </c>
      <c r="I29" s="41">
        <f>IF(H29="-","-",AVERAGE(H$28:H28,H30:H$41))</f>
        <v>151717.07500000001</v>
      </c>
      <c r="J29" s="40">
        <f t="shared" ref="J29:J30" si="13">IF(I29="-","-",I29*75%)</f>
        <v>113787.80625000001</v>
      </c>
      <c r="K29" s="41" t="s">
        <v>40</v>
      </c>
      <c r="L29" s="111"/>
      <c r="M29" s="106"/>
      <c r="N29" s="107"/>
      <c r="O29" s="109"/>
      <c r="P29" s="106"/>
      <c r="Q29" s="15"/>
      <c r="R29" s="15"/>
      <c r="S29" s="5"/>
      <c r="AMI29" s="13"/>
    </row>
    <row r="30" spans="1:1024" s="16" customFormat="1" x14ac:dyDescent="0.2">
      <c r="A30" s="46" t="s">
        <v>11</v>
      </c>
      <c r="B30" s="33" t="s">
        <v>18</v>
      </c>
      <c r="C30" s="33"/>
      <c r="D30" s="42" t="s">
        <v>18</v>
      </c>
      <c r="E30" s="41" t="str">
        <f>IF(D30="-","-",AVERAGE(D$28:D29,D31:D$41))</f>
        <v>-</v>
      </c>
      <c r="F30" s="41" t="str">
        <f t="shared" ref="F30" si="14">IF(D30="-","-",(E30*25%)+E30)</f>
        <v>-</v>
      </c>
      <c r="G30" s="41" t="str">
        <f t="shared" si="11"/>
        <v>-</v>
      </c>
      <c r="H30" s="41" t="str">
        <f t="shared" si="12"/>
        <v>-</v>
      </c>
      <c r="I30" s="41" t="str">
        <f>IF(H30="-","-",AVERAGE(H$28:H29,H31:H$41))</f>
        <v>-</v>
      </c>
      <c r="J30" s="40" t="str">
        <f t="shared" si="13"/>
        <v>-</v>
      </c>
      <c r="K30" s="41" t="str">
        <f t="shared" ref="K30" si="15">IF(J30="-","-",IF(H30&lt;J30,"INEXEQUÍVEL","VÁLIDO"))</f>
        <v>-</v>
      </c>
      <c r="L30" s="111"/>
      <c r="M30" s="106"/>
      <c r="N30" s="107"/>
      <c r="O30" s="109"/>
      <c r="P30" s="106"/>
      <c r="Q30" s="15"/>
      <c r="R30" s="15"/>
      <c r="S30" s="5"/>
      <c r="AMI30" s="13"/>
    </row>
    <row r="31" spans="1:1024" s="16" customFormat="1" x14ac:dyDescent="0.2">
      <c r="A31" s="35" t="s">
        <v>11</v>
      </c>
      <c r="B31" s="33" t="s">
        <v>18</v>
      </c>
      <c r="C31" s="33"/>
      <c r="D31" s="42" t="s">
        <v>18</v>
      </c>
      <c r="E31" s="41" t="str">
        <f>IF(D31="-","-",AVERAGE(D$28:D30,D32:D$41))</f>
        <v>-</v>
      </c>
      <c r="F31" s="41" t="str">
        <f t="shared" ref="F31:F41" si="16">IF(D31="-","-",(E31*25%)+E31)</f>
        <v>-</v>
      </c>
      <c r="G31" s="41" t="str">
        <f t="shared" si="11"/>
        <v>-</v>
      </c>
      <c r="H31" s="41" t="str">
        <f t="shared" si="12"/>
        <v>-</v>
      </c>
      <c r="I31" s="41" t="str">
        <f>IF(H31="-","-",AVERAGE(H$28:H30,H32:H$41))</f>
        <v>-</v>
      </c>
      <c r="J31" s="40" t="str">
        <f t="shared" ref="J31:J41" si="17">IF(I31="-","-",I31*75%)</f>
        <v>-</v>
      </c>
      <c r="K31" s="41" t="str">
        <f t="shared" ref="K31:K41" si="18">IF(J31="-","-",IF(H31&lt;J31,"INEXEQUÍVEL","VÁLIDO"))</f>
        <v>-</v>
      </c>
      <c r="L31" s="111"/>
      <c r="M31" s="106"/>
      <c r="N31" s="107"/>
      <c r="O31" s="109"/>
      <c r="P31" s="106"/>
      <c r="Q31" s="15"/>
      <c r="R31" s="15"/>
      <c r="S31" s="5"/>
      <c r="AMI31" s="13"/>
    </row>
    <row r="32" spans="1:1024" s="16" customFormat="1" ht="12.75" customHeight="1" x14ac:dyDescent="0.2">
      <c r="A32" s="37" t="s">
        <v>12</v>
      </c>
      <c r="B32" s="33"/>
      <c r="C32" s="33"/>
      <c r="D32" s="42" t="s">
        <v>18</v>
      </c>
      <c r="E32" s="41" t="str">
        <f>IF(D32="-","-",AVERAGE(D$28:D31,D33:D$41))</f>
        <v>-</v>
      </c>
      <c r="F32" s="41" t="str">
        <f t="shared" si="16"/>
        <v>-</v>
      </c>
      <c r="G32" s="41" t="str">
        <f t="shared" si="11"/>
        <v>-</v>
      </c>
      <c r="H32" s="41" t="str">
        <f t="shared" si="12"/>
        <v>-</v>
      </c>
      <c r="I32" s="41" t="str">
        <f>IF(H32="-","-",AVERAGE(H$28:H31,H33:H$41))</f>
        <v>-</v>
      </c>
      <c r="J32" s="40" t="str">
        <f t="shared" si="17"/>
        <v>-</v>
      </c>
      <c r="K32" s="41" t="str">
        <f t="shared" si="18"/>
        <v>-</v>
      </c>
      <c r="L32" s="111"/>
      <c r="M32" s="106"/>
      <c r="N32" s="107"/>
      <c r="O32" s="109"/>
      <c r="P32" s="106"/>
      <c r="AMI32" s="13"/>
    </row>
    <row r="33" spans="1:1024" s="16" customFormat="1" ht="22.5" x14ac:dyDescent="0.2">
      <c r="A33" s="99" t="s">
        <v>15</v>
      </c>
      <c r="B33" s="33" t="s">
        <v>31</v>
      </c>
      <c r="C33" s="33">
        <v>169</v>
      </c>
      <c r="D33" s="42">
        <v>160217.29999999999</v>
      </c>
      <c r="E33" s="41">
        <f>IF(D33="-","-",AVERAGE(D$28:D32,D34:D$41))</f>
        <v>143922.32</v>
      </c>
      <c r="F33" s="41">
        <f t="shared" si="16"/>
        <v>179902.90000000002</v>
      </c>
      <c r="G33" s="41" t="str">
        <f>IF(F33="-","-",IF(D33&gt;F33,"EXCESSIVAMENTE ELEVADO","VÁLIDO"))</f>
        <v>VÁLIDO</v>
      </c>
      <c r="H33" s="41">
        <f t="shared" si="12"/>
        <v>160217.29999999999</v>
      </c>
      <c r="I33" s="41">
        <f>IF(H33="-","-",AVERAGE(H$28:H32,H34:H$41))</f>
        <v>128572.4</v>
      </c>
      <c r="J33" s="40">
        <f t="shared" si="17"/>
        <v>96429.299999999988</v>
      </c>
      <c r="K33" s="41" t="str">
        <f t="shared" si="18"/>
        <v>VÁLIDO</v>
      </c>
      <c r="L33" s="111"/>
      <c r="M33" s="106"/>
      <c r="N33" s="107"/>
      <c r="O33" s="109"/>
      <c r="P33" s="106"/>
      <c r="AMI33" s="13"/>
    </row>
    <row r="34" spans="1:1024" s="16" customFormat="1" ht="22.5" x14ac:dyDescent="0.2">
      <c r="A34" s="99"/>
      <c r="B34" s="33" t="s">
        <v>32</v>
      </c>
      <c r="C34" s="33">
        <v>175</v>
      </c>
      <c r="D34" s="42">
        <v>132140</v>
      </c>
      <c r="E34" s="41">
        <f>IF(D34="-","-",AVERAGE(D$28:D33,D35:D$41))</f>
        <v>149537.78</v>
      </c>
      <c r="F34" s="41">
        <f t="shared" si="16"/>
        <v>186922.22500000001</v>
      </c>
      <c r="G34" s="41" t="str">
        <f t="shared" si="11"/>
        <v>VÁLIDO</v>
      </c>
      <c r="H34" s="41">
        <f t="shared" si="12"/>
        <v>132140</v>
      </c>
      <c r="I34" s="41">
        <f>IF(H34="-","-",AVERAGE(H$28:H33,H35:H$41))</f>
        <v>135591.72500000001</v>
      </c>
      <c r="J34" s="40">
        <f t="shared" si="17"/>
        <v>101693.79375000001</v>
      </c>
      <c r="K34" s="41" t="str">
        <f t="shared" si="18"/>
        <v>VÁLIDO</v>
      </c>
      <c r="L34" s="111"/>
      <c r="M34" s="106"/>
      <c r="N34" s="107"/>
      <c r="O34" s="109"/>
      <c r="P34" s="106"/>
      <c r="AMI34" s="13"/>
    </row>
    <row r="35" spans="1:1024" s="16" customFormat="1" ht="22.5" x14ac:dyDescent="0.2">
      <c r="A35" s="99"/>
      <c r="B35" s="33" t="s">
        <v>34</v>
      </c>
      <c r="C35" s="33">
        <v>182</v>
      </c>
      <c r="D35" s="42">
        <v>149100</v>
      </c>
      <c r="E35" s="41">
        <f>IF(D35="-","-",AVERAGE(D$28:D34,D36:D$41))</f>
        <v>146145.78</v>
      </c>
      <c r="F35" s="41">
        <f>IF(D35="-","-",(E35*25%)+E35)</f>
        <v>182682.22500000001</v>
      </c>
      <c r="G35" s="41" t="str">
        <f t="shared" si="11"/>
        <v>VÁLIDO</v>
      </c>
      <c r="H35" s="41">
        <f t="shared" si="12"/>
        <v>149100</v>
      </c>
      <c r="I35" s="41">
        <f>IF(H35="-","-",AVERAGE(H$28:H34,H36:H$41))</f>
        <v>131351.72500000001</v>
      </c>
      <c r="J35" s="40">
        <f>IF(I35="-","-",I35*75%)</f>
        <v>98513.793750000012</v>
      </c>
      <c r="K35" s="41" t="str">
        <f t="shared" si="18"/>
        <v>VÁLIDO</v>
      </c>
      <c r="L35" s="111"/>
      <c r="M35" s="106"/>
      <c r="N35" s="107"/>
      <c r="O35" s="109"/>
      <c r="P35" s="106"/>
      <c r="AMI35" s="13"/>
    </row>
    <row r="36" spans="1:1024" s="16" customFormat="1" ht="22.5" x14ac:dyDescent="0.2">
      <c r="A36" s="99"/>
      <c r="B36" s="33" t="s">
        <v>33</v>
      </c>
      <c r="C36" s="33">
        <v>188</v>
      </c>
      <c r="D36" s="42">
        <v>165411</v>
      </c>
      <c r="E36" s="41">
        <f>IF(D36="-","-",AVERAGE(D$28:D35,D37:D$41))</f>
        <v>142883.58000000002</v>
      </c>
      <c r="F36" s="41">
        <f t="shared" si="16"/>
        <v>178604.47500000003</v>
      </c>
      <c r="G36" s="41" t="str">
        <f t="shared" si="11"/>
        <v>VÁLIDO</v>
      </c>
      <c r="H36" s="41">
        <f t="shared" si="12"/>
        <v>165411</v>
      </c>
      <c r="I36" s="41">
        <f>IF(H36="-","-",AVERAGE(H$28:H35,H37:H$41))</f>
        <v>127273.97500000001</v>
      </c>
      <c r="J36" s="40">
        <f t="shared" si="17"/>
        <v>95455.481250000012</v>
      </c>
      <c r="K36" s="41" t="str">
        <f t="shared" si="18"/>
        <v>VÁLIDO</v>
      </c>
      <c r="L36" s="111"/>
      <c r="M36" s="106"/>
      <c r="N36" s="107"/>
      <c r="O36" s="109"/>
      <c r="P36" s="106"/>
      <c r="AMI36" s="13"/>
    </row>
    <row r="37" spans="1:1024" s="16" customFormat="1" ht="42" customHeight="1" x14ac:dyDescent="0.2">
      <c r="A37" s="99"/>
      <c r="B37" s="33" t="s">
        <v>35</v>
      </c>
      <c r="C37" s="33">
        <v>196</v>
      </c>
      <c r="D37" s="42">
        <v>205322</v>
      </c>
      <c r="E37" s="41">
        <f>IF(D37="-","-",AVERAGE(D$28:D36,D38:D$41))</f>
        <v>134901.38</v>
      </c>
      <c r="F37" s="41">
        <f t="shared" si="16"/>
        <v>168626.72500000001</v>
      </c>
      <c r="G37" s="41" t="str">
        <f t="shared" si="11"/>
        <v>EXCESSIVAMENTE ELEVADO</v>
      </c>
      <c r="H37" s="41" t="str">
        <f t="shared" si="12"/>
        <v>-</v>
      </c>
      <c r="I37" s="41" t="str">
        <f>IF(H37="-","-",AVERAGE(H$28:H36,H38:H$41))</f>
        <v>-</v>
      </c>
      <c r="J37" s="40" t="str">
        <f t="shared" si="17"/>
        <v>-</v>
      </c>
      <c r="K37" s="41" t="str">
        <f t="shared" si="18"/>
        <v>-</v>
      </c>
      <c r="L37" s="111"/>
      <c r="M37" s="106"/>
      <c r="N37" s="107"/>
      <c r="O37" s="109"/>
      <c r="P37" s="106"/>
      <c r="AMI37" s="13"/>
    </row>
    <row r="38" spans="1:1024" s="16" customFormat="1" ht="22.5" x14ac:dyDescent="0.2">
      <c r="A38" s="99"/>
      <c r="B38" s="33" t="s">
        <v>19</v>
      </c>
      <c r="C38" s="33"/>
      <c r="D38" s="42" t="s">
        <v>18</v>
      </c>
      <c r="E38" s="41" t="str">
        <f>IF(D38="-","-",AVERAGE(D$28:D37,D39:D$41))</f>
        <v>-</v>
      </c>
      <c r="F38" s="41" t="str">
        <f t="shared" si="16"/>
        <v>-</v>
      </c>
      <c r="G38" s="41" t="str">
        <f t="shared" si="11"/>
        <v>-</v>
      </c>
      <c r="H38" s="41" t="str">
        <f t="shared" si="12"/>
        <v>-</v>
      </c>
      <c r="I38" s="41" t="str">
        <f>IF(H38="-","-",AVERAGE(H$28:H37,H39:H$41))</f>
        <v>-</v>
      </c>
      <c r="J38" s="40" t="str">
        <f t="shared" si="17"/>
        <v>-</v>
      </c>
      <c r="K38" s="41" t="str">
        <f t="shared" si="18"/>
        <v>-</v>
      </c>
      <c r="L38" s="111"/>
      <c r="M38" s="106"/>
      <c r="N38" s="107"/>
      <c r="O38" s="109"/>
      <c r="P38" s="106"/>
      <c r="AMI38" s="13"/>
    </row>
    <row r="39" spans="1:1024" s="16" customFormat="1" ht="22.5" x14ac:dyDescent="0.2">
      <c r="A39" s="99"/>
      <c r="B39" s="33" t="s">
        <v>19</v>
      </c>
      <c r="C39" s="33"/>
      <c r="D39" s="42" t="s">
        <v>18</v>
      </c>
      <c r="E39" s="41" t="str">
        <f>IF(D39="-","-",AVERAGE(D$28:D38,D40:D$41))</f>
        <v>-</v>
      </c>
      <c r="F39" s="41" t="str">
        <f t="shared" si="16"/>
        <v>-</v>
      </c>
      <c r="G39" s="41" t="str">
        <f t="shared" si="11"/>
        <v>-</v>
      </c>
      <c r="H39" s="41" t="str">
        <f t="shared" si="12"/>
        <v>-</v>
      </c>
      <c r="I39" s="41" t="str">
        <f>IF(H39="-","-",AVERAGE(H$28:H38,H40:H$41))</f>
        <v>-</v>
      </c>
      <c r="J39" s="40" t="str">
        <f t="shared" si="17"/>
        <v>-</v>
      </c>
      <c r="K39" s="41" t="str">
        <f t="shared" si="18"/>
        <v>-</v>
      </c>
      <c r="L39" s="111"/>
      <c r="M39" s="106"/>
      <c r="N39" s="107"/>
      <c r="O39" s="109"/>
      <c r="P39" s="106"/>
      <c r="AMI39" s="13"/>
    </row>
    <row r="40" spans="1:1024" s="16" customFormat="1" ht="22.5" x14ac:dyDescent="0.2">
      <c r="A40" s="99"/>
      <c r="B40" s="33" t="s">
        <v>19</v>
      </c>
      <c r="C40" s="33"/>
      <c r="D40" s="42" t="s">
        <v>18</v>
      </c>
      <c r="E40" s="41" t="str">
        <f>IF(D40="-","-",AVERAGE(D$28:D39,D41:D$41))</f>
        <v>-</v>
      </c>
      <c r="F40" s="41" t="str">
        <f t="shared" si="16"/>
        <v>-</v>
      </c>
      <c r="G40" s="41" t="str">
        <f t="shared" si="11"/>
        <v>-</v>
      </c>
      <c r="H40" s="41" t="str">
        <f t="shared" si="12"/>
        <v>-</v>
      </c>
      <c r="I40" s="41" t="str">
        <f>IF(H40="-","-",AVERAGE(H$28:H39,H41:H$41))</f>
        <v>-</v>
      </c>
      <c r="J40" s="40" t="str">
        <f t="shared" si="17"/>
        <v>-</v>
      </c>
      <c r="K40" s="41" t="str">
        <f t="shared" si="18"/>
        <v>-</v>
      </c>
      <c r="L40" s="111"/>
      <c r="M40" s="106"/>
      <c r="N40" s="107"/>
      <c r="O40" s="109"/>
      <c r="P40" s="106"/>
      <c r="AMI40" s="13"/>
    </row>
    <row r="41" spans="1:1024" s="16" customFormat="1" ht="22.5" x14ac:dyDescent="0.2">
      <c r="A41" s="99"/>
      <c r="B41" s="33" t="s">
        <v>19</v>
      </c>
      <c r="C41" s="33"/>
      <c r="D41" s="42" t="s">
        <v>18</v>
      </c>
      <c r="E41" s="41" t="str">
        <f>IF(D41="-","-",AVERAGE(D$31:D$40))</f>
        <v>-</v>
      </c>
      <c r="F41" s="41" t="str">
        <f t="shared" si="16"/>
        <v>-</v>
      </c>
      <c r="G41" s="41" t="str">
        <f t="shared" si="11"/>
        <v>-</v>
      </c>
      <c r="H41" s="41" t="str">
        <f t="shared" si="12"/>
        <v>-</v>
      </c>
      <c r="I41" s="41" t="str">
        <f>IF(H41="-","-",AVERAGE(H$28:H40))</f>
        <v>-</v>
      </c>
      <c r="J41" s="40" t="str">
        <f t="shared" si="17"/>
        <v>-</v>
      </c>
      <c r="K41" s="41" t="str">
        <f t="shared" si="18"/>
        <v>-</v>
      </c>
      <c r="L41" s="111"/>
      <c r="M41" s="106"/>
      <c r="N41" s="107"/>
      <c r="O41" s="110"/>
      <c r="P41" s="106"/>
      <c r="AMI41" s="13"/>
    </row>
    <row r="42" spans="1:1024" s="87" customFormat="1" x14ac:dyDescent="0.2">
      <c r="A42" s="79"/>
      <c r="B42" s="80"/>
      <c r="C42" s="80"/>
      <c r="D42" s="81"/>
      <c r="E42" s="82"/>
      <c r="F42" s="82"/>
      <c r="G42" s="82"/>
      <c r="H42" s="82"/>
      <c r="I42" s="82"/>
      <c r="J42" s="83"/>
      <c r="K42" s="82"/>
      <c r="L42" s="84"/>
      <c r="M42" s="84"/>
      <c r="N42" s="85"/>
      <c r="O42" s="86"/>
      <c r="P42" s="84"/>
      <c r="AMI42" s="88"/>
    </row>
    <row r="43" spans="1:1024" s="16" customFormat="1" x14ac:dyDescent="0.2">
      <c r="A43" s="122"/>
      <c r="B43" s="122"/>
      <c r="C43" s="74"/>
      <c r="D43" s="34"/>
      <c r="E43" s="34"/>
      <c r="F43" s="34"/>
      <c r="G43" s="34"/>
      <c r="H43" s="17"/>
      <c r="I43" s="8"/>
      <c r="J43" s="17"/>
      <c r="K43" s="17"/>
      <c r="L43" s="9"/>
      <c r="M43" s="10"/>
      <c r="N43" s="10"/>
      <c r="O43" s="11"/>
      <c r="P43" s="12"/>
      <c r="AMJ43" s="13"/>
    </row>
    <row r="44" spans="1:1024" s="16" customFormat="1" x14ac:dyDescent="0.2">
      <c r="A44" s="122"/>
      <c r="B44" s="122"/>
      <c r="C44" s="74"/>
      <c r="D44" s="34"/>
      <c r="E44" s="34"/>
      <c r="F44" s="34"/>
      <c r="G44" s="34"/>
      <c r="H44" s="17"/>
      <c r="I44" s="8"/>
      <c r="J44" s="17"/>
      <c r="K44" s="17"/>
      <c r="L44" s="9"/>
      <c r="M44" s="10"/>
      <c r="N44" s="10"/>
      <c r="O44" s="11"/>
      <c r="P44" s="12"/>
      <c r="AMJ44" s="13"/>
    </row>
    <row r="45" spans="1:1024" s="16" customFormat="1" x14ac:dyDescent="0.2">
      <c r="A45" s="74"/>
      <c r="B45" s="74"/>
      <c r="C45" s="74"/>
      <c r="D45" s="34"/>
      <c r="E45" s="34"/>
      <c r="F45" s="34"/>
      <c r="G45" s="34"/>
      <c r="H45" s="17"/>
      <c r="I45" s="8"/>
      <c r="J45" s="17"/>
      <c r="K45" s="17"/>
      <c r="L45" s="9"/>
      <c r="M45" s="10"/>
      <c r="N45" s="10"/>
      <c r="O45" s="11"/>
      <c r="P45" s="12"/>
      <c r="AMJ45" s="13"/>
    </row>
    <row r="46" spans="1:1024" x14ac:dyDescent="0.2">
      <c r="A46" s="36" t="s">
        <v>0</v>
      </c>
      <c r="B46" s="36" t="s">
        <v>1</v>
      </c>
      <c r="C46" s="73"/>
      <c r="D46" s="36" t="s">
        <v>2</v>
      </c>
      <c r="E46" s="112" t="s">
        <v>3</v>
      </c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S46" s="21"/>
    </row>
    <row r="47" spans="1:1024" ht="27" customHeight="1" x14ac:dyDescent="0.2">
      <c r="A47" s="26">
        <v>3</v>
      </c>
      <c r="B47" s="26">
        <v>768</v>
      </c>
      <c r="C47" s="26"/>
      <c r="D47" s="27" t="s">
        <v>27</v>
      </c>
      <c r="E47" s="113" t="s">
        <v>26</v>
      </c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</row>
    <row r="48" spans="1:1024" s="14" customFormat="1" ht="22.5" x14ac:dyDescent="0.2">
      <c r="A48" s="28" t="s">
        <v>4</v>
      </c>
      <c r="B48" s="28" t="s">
        <v>5</v>
      </c>
      <c r="C48" s="28"/>
      <c r="D48" s="28" t="s">
        <v>6</v>
      </c>
      <c r="E48" s="29" t="s">
        <v>7</v>
      </c>
      <c r="F48" s="30">
        <v>0.25</v>
      </c>
      <c r="G48" s="28" t="s">
        <v>8</v>
      </c>
      <c r="H48" s="28" t="s">
        <v>6</v>
      </c>
      <c r="I48" s="29" t="s">
        <v>7</v>
      </c>
      <c r="J48" s="31">
        <v>0.75</v>
      </c>
      <c r="K48" s="28" t="s">
        <v>8</v>
      </c>
      <c r="L48" s="7" t="s">
        <v>17</v>
      </c>
      <c r="M48" s="32" t="s">
        <v>13</v>
      </c>
      <c r="N48" s="32" t="s">
        <v>14</v>
      </c>
      <c r="O48" s="6" t="s">
        <v>16</v>
      </c>
      <c r="P48" s="28" t="s">
        <v>9</v>
      </c>
      <c r="Q48" s="4"/>
      <c r="R48" s="22"/>
      <c r="S48" s="4"/>
      <c r="AMI48" s="13"/>
    </row>
    <row r="49" spans="1:1023" s="16" customFormat="1" ht="12.75" customHeight="1" x14ac:dyDescent="0.2">
      <c r="A49" s="35" t="s">
        <v>10</v>
      </c>
      <c r="B49" s="33" t="s">
        <v>18</v>
      </c>
      <c r="C49" s="33"/>
      <c r="D49" s="42" t="s">
        <v>18</v>
      </c>
      <c r="E49" s="41" t="str">
        <f>IF(D49="-","-",AVERAGE(D$50:D$62))</f>
        <v>-</v>
      </c>
      <c r="F49" s="41" t="str">
        <f>IF(D49="-","-",(E49*25%)+E49)</f>
        <v>-</v>
      </c>
      <c r="G49" s="41" t="str">
        <f>IF(F49="-","-",IF(D49&gt;F49,"EXCESSIVAMENTE ELEVADO","VÁLIDO"))</f>
        <v>-</v>
      </c>
      <c r="H49" s="41" t="str">
        <f>IF(G49="EXCESSIVAMENTE ELEVADO","-",D49)</f>
        <v>-</v>
      </c>
      <c r="I49" s="41" t="str">
        <f>IF(H49="-","-",AVERAGE(H$50:H$62))</f>
        <v>-</v>
      </c>
      <c r="J49" s="40" t="str">
        <f>IF(I49="-","-",I49*75%)</f>
        <v>-</v>
      </c>
      <c r="K49" s="41" t="str">
        <f>IF(J49="-","-",IF(H49&lt;J49,"INEXEQUÍVEL","VÁLIDO"))</f>
        <v>-</v>
      </c>
      <c r="L49" s="111">
        <f>AVERAGEIF(K49:K62,"VÁLIDO",H49:H62)</f>
        <v>235.81666666666669</v>
      </c>
      <c r="M49" s="106" cm="1">
        <f t="array" ref="M49">MEDIAN(IF(K49:K62="VÁLIDO",H49:H62))</f>
        <v>244.5</v>
      </c>
      <c r="N49" s="107" cm="1">
        <f t="array" ref="N49">MIN(IF(K49:K62="VÁLIDO",H49:H62))</f>
        <v>176.4</v>
      </c>
      <c r="O49" s="108">
        <f>L49</f>
        <v>235.81666666666669</v>
      </c>
      <c r="P49" s="106">
        <f>B47*O49</f>
        <v>181107.20000000001</v>
      </c>
      <c r="Q49" s="15"/>
      <c r="R49" s="15"/>
      <c r="S49" s="5"/>
      <c r="AMI49" s="13"/>
    </row>
    <row r="50" spans="1:1023" s="16" customFormat="1" x14ac:dyDescent="0.2">
      <c r="A50" s="46" t="s">
        <v>11</v>
      </c>
      <c r="B50" s="33" t="s">
        <v>18</v>
      </c>
      <c r="C50" s="33"/>
      <c r="D50" s="42" t="s">
        <v>18</v>
      </c>
      <c r="E50" s="41" t="str">
        <f>IF(D50="-","-",AVERAGE(D$49:D49,D51:D$62))</f>
        <v>-</v>
      </c>
      <c r="F50" s="41" t="str">
        <f t="shared" ref="F50:F51" si="19">IF(D50="-","-",(E50*25%)+E50)</f>
        <v>-</v>
      </c>
      <c r="G50" s="41" t="str">
        <f>IF(F50="-","-",IF(D50&gt;F50,"EXCESSIVAMENTE ELEVADO","VÁLIDO"))</f>
        <v>-</v>
      </c>
      <c r="H50" s="41" t="str">
        <f t="shared" ref="H50:H51" si="20">IF(G50="EXCESSIVAMENTE ELEVADO","-",D50)</f>
        <v>-</v>
      </c>
      <c r="I50" s="41" t="str">
        <f>IF(H50="-","-",AVERAGE(H$49:H49,H51:H$62))</f>
        <v>-</v>
      </c>
      <c r="J50" s="40" t="str">
        <f t="shared" ref="J50:J52" si="21">IF(I50="-","-",I50*75%)</f>
        <v>-</v>
      </c>
      <c r="K50" s="41" t="str">
        <f t="shared" ref="K50:K52" si="22">IF(J50="-","-",IF(H50&lt;J50,"INEXEQUÍVEL","VÁLIDO"))</f>
        <v>-</v>
      </c>
      <c r="L50" s="111"/>
      <c r="M50" s="106"/>
      <c r="N50" s="107"/>
      <c r="O50" s="109"/>
      <c r="P50" s="106"/>
      <c r="Q50" s="15"/>
      <c r="R50" s="15"/>
      <c r="S50" s="5"/>
      <c r="AMI50" s="13"/>
    </row>
    <row r="51" spans="1:1023" s="16" customFormat="1" ht="22.5" x14ac:dyDescent="0.2">
      <c r="A51" s="46" t="s">
        <v>11</v>
      </c>
      <c r="B51" s="33" t="s">
        <v>43</v>
      </c>
      <c r="C51" s="33">
        <v>314</v>
      </c>
      <c r="D51" s="42">
        <v>176.4</v>
      </c>
      <c r="E51" s="41">
        <f>IF(D51="-","-",AVERAGE(D$49:D50,D52:D$62))</f>
        <v>247.7</v>
      </c>
      <c r="F51" s="41">
        <f t="shared" si="19"/>
        <v>309.625</v>
      </c>
      <c r="G51" s="41" t="str">
        <f>IF(F51="-","-",IF(D51&gt;F51,"EXCESSIVAMENTE ELEVADO","VÁLIDO"))</f>
        <v>VÁLIDO</v>
      </c>
      <c r="H51" s="41">
        <f t="shared" si="20"/>
        <v>176.4</v>
      </c>
      <c r="I51" s="41">
        <f>IF(H51="-","-",AVERAGE(H$49:H50,H52:H$62))</f>
        <v>247.7</v>
      </c>
      <c r="J51" s="40">
        <f t="shared" si="21"/>
        <v>185.77499999999998</v>
      </c>
      <c r="K51" s="41" t="s">
        <v>40</v>
      </c>
      <c r="L51" s="111"/>
      <c r="M51" s="106"/>
      <c r="N51" s="107"/>
      <c r="O51" s="109"/>
      <c r="P51" s="106"/>
      <c r="Q51" s="15"/>
      <c r="R51" s="15"/>
      <c r="S51" s="5"/>
      <c r="AMI51" s="13"/>
    </row>
    <row r="52" spans="1:1023" s="16" customFormat="1" x14ac:dyDescent="0.2">
      <c r="A52" s="35" t="s">
        <v>11</v>
      </c>
      <c r="B52" s="33" t="s">
        <v>18</v>
      </c>
      <c r="C52" s="33"/>
      <c r="D52" s="42" t="s">
        <v>18</v>
      </c>
      <c r="E52" s="41" t="str">
        <f>IF(D52="-","-",AVERAGE(D$49:D51,D53:D$62))</f>
        <v>-</v>
      </c>
      <c r="F52" s="41" t="str">
        <f t="shared" ref="F52:F62" si="23">IF(D52="-","-",(E52*25%)+E52)</f>
        <v>-</v>
      </c>
      <c r="G52" s="41" t="str">
        <f t="shared" ref="G52:G62" si="24">IF(F52="-","-",IF(D52&gt;F52,"EXCESSIVAMENTE ELEVADO","VÁLIDO"))</f>
        <v>-</v>
      </c>
      <c r="H52" s="41" t="str">
        <f t="shared" ref="H52:H62" si="25">IF(G52="EXCESSIVAMENTE ELEVADO","-",D52)</f>
        <v>-</v>
      </c>
      <c r="I52" s="41" t="str">
        <f>IF(H52="-","-",AVERAGE(H$49:H51,H53:H$62))</f>
        <v>-</v>
      </c>
      <c r="J52" s="40" t="str">
        <f t="shared" si="21"/>
        <v>-</v>
      </c>
      <c r="K52" s="41" t="str">
        <f t="shared" si="22"/>
        <v>-</v>
      </c>
      <c r="L52" s="111"/>
      <c r="M52" s="106"/>
      <c r="N52" s="107"/>
      <c r="O52" s="109"/>
      <c r="P52" s="106"/>
      <c r="Q52" s="23"/>
      <c r="R52" s="15"/>
      <c r="S52" s="5"/>
      <c r="W52" s="71"/>
      <c r="AMI52" s="13"/>
    </row>
    <row r="53" spans="1:1023" s="16" customFormat="1" ht="12.75" customHeight="1" x14ac:dyDescent="0.2">
      <c r="A53" s="37" t="s">
        <v>12</v>
      </c>
      <c r="B53" s="33"/>
      <c r="C53" s="33"/>
      <c r="D53" s="42" t="s">
        <v>18</v>
      </c>
      <c r="E53" s="41" t="str">
        <f>IF(D53="-","-",AVERAGE(D$49:D52,D54:D$62))</f>
        <v>-</v>
      </c>
      <c r="F53" s="41" t="str">
        <f t="shared" si="23"/>
        <v>-</v>
      </c>
      <c r="G53" s="41" t="str">
        <f t="shared" si="24"/>
        <v>-</v>
      </c>
      <c r="H53" s="41" t="str">
        <f t="shared" si="25"/>
        <v>-</v>
      </c>
      <c r="I53" s="41" t="str">
        <f>IF(H53="-","-",AVERAGE(H$49:H52,H54:H$62))</f>
        <v>-</v>
      </c>
      <c r="J53" s="40" t="str">
        <f t="shared" ref="J53:J62" si="26">IF(I53="-","-",I53*75%)</f>
        <v>-</v>
      </c>
      <c r="K53" s="41" t="str">
        <f t="shared" ref="K53:K62" si="27">IF(J53="-","-",IF(H53&lt;J53,"INEXEQUÍVEL","VÁLIDO"))</f>
        <v>-</v>
      </c>
      <c r="L53" s="111"/>
      <c r="M53" s="106"/>
      <c r="N53" s="107"/>
      <c r="O53" s="109"/>
      <c r="P53" s="106"/>
      <c r="Q53" s="23"/>
      <c r="R53" s="15"/>
      <c r="S53" s="5"/>
      <c r="W53" s="75"/>
      <c r="AMI53" s="13"/>
    </row>
    <row r="54" spans="1:1023" s="16" customFormat="1" ht="22.5" x14ac:dyDescent="0.2">
      <c r="A54" s="99" t="s">
        <v>15</v>
      </c>
      <c r="B54" s="33" t="s">
        <v>31</v>
      </c>
      <c r="C54" s="33">
        <v>169</v>
      </c>
      <c r="D54" s="42">
        <v>231.5</v>
      </c>
      <c r="E54" s="41">
        <f>IF(D54="-","-",AVERAGE(D$49:D53,D55:D$62))</f>
        <v>236.68</v>
      </c>
      <c r="F54" s="41">
        <f t="shared" si="23"/>
        <v>295.85000000000002</v>
      </c>
      <c r="G54" s="41" t="str">
        <f>IF(F54="-","-",IF(D54&gt;F54,"EXCESSIVAMENTE ELEVADO","VÁLIDO"))</f>
        <v>VÁLIDO</v>
      </c>
      <c r="H54" s="41">
        <f t="shared" si="25"/>
        <v>231.5</v>
      </c>
      <c r="I54" s="41">
        <f>IF(H54="-","-",AVERAGE(H$49:H53,H55:H$62))</f>
        <v>236.68</v>
      </c>
      <c r="J54" s="40">
        <f t="shared" si="26"/>
        <v>177.51</v>
      </c>
      <c r="K54" s="41" t="str">
        <f t="shared" si="27"/>
        <v>VÁLIDO</v>
      </c>
      <c r="L54" s="111"/>
      <c r="M54" s="106"/>
      <c r="N54" s="107"/>
      <c r="O54" s="109"/>
      <c r="P54" s="106"/>
      <c r="Q54" s="15"/>
      <c r="R54" s="68">
        <f>P7</f>
        <v>303096.16666666669</v>
      </c>
      <c r="S54" s="5"/>
      <c r="W54" s="98"/>
      <c r="AMI54" s="13"/>
    </row>
    <row r="55" spans="1:1023" s="16" customFormat="1" ht="22.5" x14ac:dyDescent="0.2">
      <c r="A55" s="99"/>
      <c r="B55" s="33" t="s">
        <v>32</v>
      </c>
      <c r="C55" s="33">
        <v>175</v>
      </c>
      <c r="D55" s="42">
        <v>245</v>
      </c>
      <c r="E55" s="41">
        <f>IF(D55="-","-",AVERAGE(D$49:D54,D56:D$62))</f>
        <v>233.98000000000002</v>
      </c>
      <c r="F55" s="41">
        <f t="shared" si="23"/>
        <v>292.47500000000002</v>
      </c>
      <c r="G55" s="41" t="str">
        <f t="shared" si="24"/>
        <v>VÁLIDO</v>
      </c>
      <c r="H55" s="41">
        <f t="shared" si="25"/>
        <v>245</v>
      </c>
      <c r="I55" s="41">
        <f>IF(H55="-","-",AVERAGE(H$49:H54,H56:H$62))</f>
        <v>233.98000000000002</v>
      </c>
      <c r="J55" s="40">
        <f t="shared" si="26"/>
        <v>175.48500000000001</v>
      </c>
      <c r="K55" s="41" t="str">
        <f t="shared" si="27"/>
        <v>VÁLIDO</v>
      </c>
      <c r="L55" s="111"/>
      <c r="M55" s="106"/>
      <c r="N55" s="107"/>
      <c r="O55" s="109"/>
      <c r="P55" s="106"/>
      <c r="Q55" s="15"/>
      <c r="R55" s="68">
        <f>P28/12*7</f>
        <v>944309.66</v>
      </c>
      <c r="S55" s="5"/>
      <c r="W55" s="98"/>
      <c r="AMI55" s="13"/>
    </row>
    <row r="56" spans="1:1023" s="16" customFormat="1" ht="22.5" x14ac:dyDescent="0.2">
      <c r="A56" s="99"/>
      <c r="B56" s="33" t="s">
        <v>34</v>
      </c>
      <c r="C56" s="33">
        <v>182</v>
      </c>
      <c r="D56" s="42">
        <v>250</v>
      </c>
      <c r="E56" s="41">
        <f>IF(D56="-","-",AVERAGE(D$49:D55,D57:D$62))</f>
        <v>232.98000000000002</v>
      </c>
      <c r="F56" s="41">
        <f t="shared" si="23"/>
        <v>291.22500000000002</v>
      </c>
      <c r="G56" s="41" t="str">
        <f t="shared" si="24"/>
        <v>VÁLIDO</v>
      </c>
      <c r="H56" s="41">
        <f t="shared" si="25"/>
        <v>250</v>
      </c>
      <c r="I56" s="41">
        <f>IF(H56="-","-",AVERAGE(H$49:H55,H57:H$62))</f>
        <v>232.98000000000002</v>
      </c>
      <c r="J56" s="40">
        <f t="shared" si="26"/>
        <v>174.73500000000001</v>
      </c>
      <c r="K56" s="41" t="str">
        <f t="shared" si="27"/>
        <v>VÁLIDO</v>
      </c>
      <c r="L56" s="111"/>
      <c r="M56" s="106"/>
      <c r="N56" s="107"/>
      <c r="O56" s="109"/>
      <c r="P56" s="106"/>
      <c r="Q56" s="15"/>
      <c r="R56" s="68">
        <f>P49/12*7</f>
        <v>105645.86666666668</v>
      </c>
      <c r="S56" s="5"/>
      <c r="AMI56" s="13"/>
    </row>
    <row r="57" spans="1:1023" s="16" customFormat="1" ht="22.5" x14ac:dyDescent="0.2">
      <c r="A57" s="99"/>
      <c r="B57" s="33" t="s">
        <v>33</v>
      </c>
      <c r="C57" s="33">
        <v>188</v>
      </c>
      <c r="D57" s="42">
        <v>244</v>
      </c>
      <c r="E57" s="41">
        <f>IF(D57="-","-",AVERAGE(D$49:D56,D58:D$62))</f>
        <v>234.18</v>
      </c>
      <c r="F57" s="41">
        <f t="shared" si="23"/>
        <v>292.72500000000002</v>
      </c>
      <c r="G57" s="41" t="str">
        <f t="shared" si="24"/>
        <v>VÁLIDO</v>
      </c>
      <c r="H57" s="41">
        <f t="shared" si="25"/>
        <v>244</v>
      </c>
      <c r="I57" s="41">
        <f>IF(H57="-","-",AVERAGE(H$49:H56,H58:H$62))</f>
        <v>234.18</v>
      </c>
      <c r="J57" s="40">
        <f t="shared" si="26"/>
        <v>175.63499999999999</v>
      </c>
      <c r="K57" s="41" t="str">
        <f t="shared" si="27"/>
        <v>VÁLIDO</v>
      </c>
      <c r="L57" s="111"/>
      <c r="M57" s="106"/>
      <c r="N57" s="107"/>
      <c r="O57" s="109"/>
      <c r="P57" s="106"/>
      <c r="R57" s="98">
        <f>SUM(R54:R56)</f>
        <v>1353051.6933333334</v>
      </c>
      <c r="AMI57" s="13"/>
    </row>
    <row r="58" spans="1:1023" s="16" customFormat="1" ht="22.5" x14ac:dyDescent="0.2">
      <c r="A58" s="99"/>
      <c r="B58" s="33" t="s">
        <v>35</v>
      </c>
      <c r="C58" s="33">
        <v>196</v>
      </c>
      <c r="D58" s="42">
        <v>268</v>
      </c>
      <c r="E58" s="41">
        <f>IF(D58="-","-",AVERAGE(D$49:D57,D59:D$62))</f>
        <v>229.38000000000002</v>
      </c>
      <c r="F58" s="41">
        <f t="shared" si="23"/>
        <v>286.72500000000002</v>
      </c>
      <c r="G58" s="41" t="str">
        <f t="shared" si="24"/>
        <v>VÁLIDO</v>
      </c>
      <c r="H58" s="41">
        <f t="shared" si="25"/>
        <v>268</v>
      </c>
      <c r="I58" s="41">
        <f>IF(H58="-","-",AVERAGE(H$49:H57,H59:H$62))</f>
        <v>229.38000000000002</v>
      </c>
      <c r="J58" s="40">
        <f t="shared" si="26"/>
        <v>172.03500000000003</v>
      </c>
      <c r="K58" s="41" t="str">
        <f t="shared" si="27"/>
        <v>VÁLIDO</v>
      </c>
      <c r="L58" s="111"/>
      <c r="M58" s="106"/>
      <c r="N58" s="107"/>
      <c r="O58" s="109"/>
      <c r="P58" s="106"/>
      <c r="R58" s="75"/>
      <c r="S58" s="75"/>
      <c r="AMI58" s="13"/>
    </row>
    <row r="59" spans="1:1023" s="16" customFormat="1" ht="22.5" x14ac:dyDescent="0.2">
      <c r="A59" s="99"/>
      <c r="B59" s="33" t="s">
        <v>21</v>
      </c>
      <c r="C59" s="33"/>
      <c r="D59" s="42" t="s">
        <v>18</v>
      </c>
      <c r="E59" s="41" t="str">
        <f>IF(D59="-","-",AVERAGE(D$49:D58,D60:D$62))</f>
        <v>-</v>
      </c>
      <c r="F59" s="41" t="str">
        <f t="shared" si="23"/>
        <v>-</v>
      </c>
      <c r="G59" s="41" t="str">
        <f t="shared" si="24"/>
        <v>-</v>
      </c>
      <c r="H59" s="41" t="str">
        <f t="shared" si="25"/>
        <v>-</v>
      </c>
      <c r="I59" s="41" t="str">
        <f>IF(H59="-","-",AVERAGE(H$49:H58,H60:H$62))</f>
        <v>-</v>
      </c>
      <c r="J59" s="40" t="str">
        <f t="shared" si="26"/>
        <v>-</v>
      </c>
      <c r="K59" s="41" t="str">
        <f t="shared" si="27"/>
        <v>-</v>
      </c>
      <c r="L59" s="111"/>
      <c r="M59" s="106"/>
      <c r="N59" s="107"/>
      <c r="O59" s="109"/>
      <c r="P59" s="106"/>
      <c r="R59" s="75"/>
      <c r="AMI59" s="13"/>
    </row>
    <row r="60" spans="1:1023" s="16" customFormat="1" ht="22.5" x14ac:dyDescent="0.2">
      <c r="A60" s="99"/>
      <c r="B60" s="33" t="s">
        <v>19</v>
      </c>
      <c r="C60" s="33"/>
      <c r="D60" s="42" t="s">
        <v>18</v>
      </c>
      <c r="E60" s="41" t="str">
        <f>IF(D60="-","-",AVERAGE(D$49:D59,D61:D$62))</f>
        <v>-</v>
      </c>
      <c r="F60" s="41" t="str">
        <f t="shared" si="23"/>
        <v>-</v>
      </c>
      <c r="G60" s="41" t="str">
        <f t="shared" si="24"/>
        <v>-</v>
      </c>
      <c r="H60" s="41" t="str">
        <f t="shared" si="25"/>
        <v>-</v>
      </c>
      <c r="I60" s="41" t="str">
        <f>IF(H60="-","-",AVERAGE(H$49:H59,H61:H$62))</f>
        <v>-</v>
      </c>
      <c r="J60" s="40" t="str">
        <f t="shared" si="26"/>
        <v>-</v>
      </c>
      <c r="K60" s="41" t="str">
        <f t="shared" si="27"/>
        <v>-</v>
      </c>
      <c r="L60" s="111"/>
      <c r="M60" s="106"/>
      <c r="N60" s="107"/>
      <c r="O60" s="109"/>
      <c r="P60" s="106"/>
      <c r="W60" s="75"/>
      <c r="AMI60" s="13"/>
    </row>
    <row r="61" spans="1:1023" s="16" customFormat="1" ht="22.5" x14ac:dyDescent="0.2">
      <c r="A61" s="99"/>
      <c r="B61" s="33" t="s">
        <v>19</v>
      </c>
      <c r="C61" s="33"/>
      <c r="D61" s="42" t="s">
        <v>18</v>
      </c>
      <c r="E61" s="41" t="str">
        <f>IF(D61="-","-",AVERAGE(D$49:D60,D62:D$62))</f>
        <v>-</v>
      </c>
      <c r="F61" s="41" t="str">
        <f t="shared" si="23"/>
        <v>-</v>
      </c>
      <c r="G61" s="41" t="str">
        <f t="shared" si="24"/>
        <v>-</v>
      </c>
      <c r="H61" s="41" t="str">
        <f t="shared" si="25"/>
        <v>-</v>
      </c>
      <c r="I61" s="41" t="str">
        <f>IF(H61="-","-",AVERAGE(H$49:H60,H62:H$62))</f>
        <v>-</v>
      </c>
      <c r="J61" s="40" t="str">
        <f t="shared" si="26"/>
        <v>-</v>
      </c>
      <c r="K61" s="41" t="str">
        <f t="shared" si="27"/>
        <v>-</v>
      </c>
      <c r="L61" s="111"/>
      <c r="M61" s="106"/>
      <c r="N61" s="107"/>
      <c r="O61" s="109"/>
      <c r="P61" s="106"/>
      <c r="AMI61" s="13"/>
    </row>
    <row r="62" spans="1:1023" s="16" customFormat="1" ht="22.5" x14ac:dyDescent="0.2">
      <c r="A62" s="99"/>
      <c r="B62" s="33" t="s">
        <v>19</v>
      </c>
      <c r="C62" s="33"/>
      <c r="D62" s="42" t="s">
        <v>18</v>
      </c>
      <c r="E62" s="41" t="str">
        <f>IF(D62="-","-",AVERAGE(D$49:D$61))</f>
        <v>-</v>
      </c>
      <c r="F62" s="41" t="str">
        <f t="shared" si="23"/>
        <v>-</v>
      </c>
      <c r="G62" s="41" t="str">
        <f t="shared" si="24"/>
        <v>-</v>
      </c>
      <c r="H62" s="41" t="str">
        <f t="shared" si="25"/>
        <v>-</v>
      </c>
      <c r="I62" s="41" t="str">
        <f>IF(H62="-","-",AVERAGE(H$49:H$61))</f>
        <v>-</v>
      </c>
      <c r="J62" s="40" t="str">
        <f t="shared" si="26"/>
        <v>-</v>
      </c>
      <c r="K62" s="41" t="str">
        <f t="shared" si="27"/>
        <v>-</v>
      </c>
      <c r="L62" s="111"/>
      <c r="M62" s="106"/>
      <c r="N62" s="107"/>
      <c r="O62" s="110"/>
      <c r="P62" s="106"/>
      <c r="AMI62" s="13"/>
    </row>
    <row r="67" spans="1:20" ht="15.75" x14ac:dyDescent="0.2">
      <c r="A67" s="115" t="s">
        <v>97</v>
      </c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7"/>
    </row>
    <row r="68" spans="1:20" x14ac:dyDescent="0.2">
      <c r="A68" s="49" t="s">
        <v>0</v>
      </c>
      <c r="B68" s="49" t="s">
        <v>1</v>
      </c>
      <c r="C68" s="73"/>
      <c r="D68" s="49" t="s">
        <v>2</v>
      </c>
      <c r="E68" s="112" t="s">
        <v>3</v>
      </c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</row>
    <row r="69" spans="1:20" ht="24" customHeight="1" x14ac:dyDescent="0.2">
      <c r="A69" s="26">
        <v>1</v>
      </c>
      <c r="B69" s="26">
        <v>1</v>
      </c>
      <c r="C69" s="26"/>
      <c r="D69" s="27" t="s">
        <v>27</v>
      </c>
      <c r="E69" s="113" t="s">
        <v>24</v>
      </c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</row>
    <row r="70" spans="1:20" ht="22.5" x14ac:dyDescent="0.2">
      <c r="A70" s="28" t="s">
        <v>4</v>
      </c>
      <c r="B70" s="28" t="s">
        <v>5</v>
      </c>
      <c r="C70" s="28"/>
      <c r="D70" s="28" t="s">
        <v>6</v>
      </c>
      <c r="E70" s="29" t="s">
        <v>7</v>
      </c>
      <c r="F70" s="30">
        <v>0.25</v>
      </c>
      <c r="G70" s="28" t="s">
        <v>8</v>
      </c>
      <c r="H70" s="28" t="s">
        <v>6</v>
      </c>
      <c r="I70" s="29" t="s">
        <v>7</v>
      </c>
      <c r="J70" s="31">
        <v>0.75</v>
      </c>
      <c r="K70" s="28" t="s">
        <v>8</v>
      </c>
      <c r="L70" s="7" t="s">
        <v>17</v>
      </c>
      <c r="M70" s="32" t="s">
        <v>13</v>
      </c>
      <c r="N70" s="32" t="s">
        <v>14</v>
      </c>
      <c r="O70" s="6" t="s">
        <v>16</v>
      </c>
      <c r="P70" s="28" t="s">
        <v>9</v>
      </c>
    </row>
    <row r="71" spans="1:20" x14ac:dyDescent="0.2">
      <c r="A71" s="48" t="s">
        <v>10</v>
      </c>
      <c r="B71" s="33" t="s">
        <v>18</v>
      </c>
      <c r="C71" s="33"/>
      <c r="D71" s="42" t="s">
        <v>18</v>
      </c>
      <c r="E71" s="41" t="str">
        <f>IF(D71="-","-",AVERAGE(D$72:D$84))</f>
        <v>-</v>
      </c>
      <c r="F71" s="41" t="str">
        <f>IF(D71="-","-",(E71*25%)+E71)</f>
        <v>-</v>
      </c>
      <c r="G71" s="41" t="str">
        <f t="shared" ref="G71:G72" si="28">IF(F71="-","-",IF(D71&gt;F71,"EXCESSIVAMENTE ELEVADO","VÁLIDO"))</f>
        <v>-</v>
      </c>
      <c r="H71" s="41" t="str">
        <f t="shared" ref="H71:H72" si="29">IF(G71="EXCESSIVAMENTE ELEVADO","-",D71)</f>
        <v>-</v>
      </c>
      <c r="I71" s="41" t="str">
        <f>IF(H71="-","-",AVERAGE(H$72:H$84))</f>
        <v>-</v>
      </c>
      <c r="J71" s="40" t="str">
        <f>IF(I71="-","-",I71*75%)</f>
        <v>-</v>
      </c>
      <c r="K71" s="41" t="str">
        <f>IF(J71="-","-",IF(H71&lt;J71,"INEXEQUÍVEL","VÁLIDO"))</f>
        <v>-</v>
      </c>
      <c r="L71" s="111">
        <f>AVERAGEIF(K71:K84,"VÁLIDO",H71:H84)</f>
        <v>86439.75</v>
      </c>
      <c r="M71" s="106" cm="1">
        <f t="array" ref="M71">MEDIAN(IF(K71:K84="VÁLIDO",H71:H84))</f>
        <v>89269.5</v>
      </c>
      <c r="N71" s="107" cm="1">
        <f t="array" ref="N71">MIN(IF(K71:K84="VÁLIDO",H71:H84))</f>
        <v>73500</v>
      </c>
      <c r="O71" s="108">
        <f>L71</f>
        <v>86439.75</v>
      </c>
      <c r="P71" s="106">
        <f>B69*O71</f>
        <v>86439.75</v>
      </c>
    </row>
    <row r="72" spans="1:20" ht="38.25" x14ac:dyDescent="0.2">
      <c r="A72" s="48" t="s">
        <v>11</v>
      </c>
      <c r="B72" s="33" t="s">
        <v>101</v>
      </c>
      <c r="C72" s="33" t="s">
        <v>111</v>
      </c>
      <c r="D72" s="42">
        <v>154914.92000000001</v>
      </c>
      <c r="E72" s="41">
        <f>IF(D72="-","-",AVERAGE(D$71:D71,D73:D$84))</f>
        <v>110160.41666666667</v>
      </c>
      <c r="F72" s="41">
        <f>IF(D72="-","-",(E72*25%)+E72)</f>
        <v>137700.52083333334</v>
      </c>
      <c r="G72" s="41" t="str">
        <f t="shared" si="28"/>
        <v>EXCESSIVAMENTE ELEVADO</v>
      </c>
      <c r="H72" s="41" t="str">
        <f t="shared" si="29"/>
        <v>-</v>
      </c>
      <c r="I72" s="41"/>
      <c r="J72" s="40">
        <f t="shared" ref="J72:J73" si="30">IF(I72="-","-",I72*75%)</f>
        <v>0</v>
      </c>
      <c r="K72" s="41" t="str">
        <f t="shared" ref="K72" si="31">IF(J72="-","-",IF(H72&lt;J72,"INEXEQUÍVEL","VÁLIDO"))</f>
        <v>VÁLIDO</v>
      </c>
      <c r="L72" s="111"/>
      <c r="M72" s="106"/>
      <c r="N72" s="107"/>
      <c r="O72" s="109"/>
      <c r="P72" s="106"/>
      <c r="T72" s="69"/>
    </row>
    <row r="73" spans="1:20" ht="38.25" x14ac:dyDescent="0.2">
      <c r="A73" s="48" t="s">
        <v>11</v>
      </c>
      <c r="B73" s="33" t="s">
        <v>43</v>
      </c>
      <c r="C73" s="33">
        <v>314</v>
      </c>
      <c r="D73" s="42">
        <v>252000</v>
      </c>
      <c r="E73" s="41">
        <f>IF(D73="-","-",AVERAGE(D$71:D72,D74:D$84))</f>
        <v>93979.57</v>
      </c>
      <c r="F73" s="41">
        <f t="shared" ref="F73" si="32">IF(D73="-","-",(E73*25%)+E73)</f>
        <v>117474.46250000001</v>
      </c>
      <c r="G73" s="41" t="str">
        <f>IF(F73="-","-",IF(D73&gt;F73,"EXCESSIVAMENTE ELEVADO","VÁLIDO"))</f>
        <v>EXCESSIVAMENTE ELEVADO</v>
      </c>
      <c r="H73" s="41" t="str">
        <f>IF(G73="EXCESSIVAMENTE ELEVADO","-",D73)</f>
        <v>-</v>
      </c>
      <c r="I73" s="41" t="str">
        <f>IF(H73="-","-",AVERAGE(H$71:H72,H74:H$84))</f>
        <v>-</v>
      </c>
      <c r="J73" s="40" t="str">
        <f t="shared" si="30"/>
        <v>-</v>
      </c>
      <c r="K73" s="41" t="str">
        <f>IF(J73="-","-",IF(H73&lt;J73,"INEXEQUÍVEL","VÁLIDO"))</f>
        <v>-</v>
      </c>
      <c r="L73" s="111"/>
      <c r="M73" s="106"/>
      <c r="N73" s="107"/>
      <c r="O73" s="109"/>
      <c r="P73" s="106"/>
    </row>
    <row r="74" spans="1:20" x14ac:dyDescent="0.2">
      <c r="A74" s="48" t="s">
        <v>11</v>
      </c>
      <c r="B74" s="33" t="s">
        <v>18</v>
      </c>
      <c r="C74" s="33"/>
      <c r="D74" s="42" t="s">
        <v>18</v>
      </c>
      <c r="E74" s="41" t="str">
        <f>IF(D74="-","-",AVERAGE(D$71:D73,D75:D$84))</f>
        <v>-</v>
      </c>
      <c r="F74" s="41" t="str">
        <f>IF(D74="-","-",(E74*25%)+E74)</f>
        <v>-</v>
      </c>
      <c r="G74" s="41" t="str">
        <f t="shared" ref="G74:G75" si="33">IF(F74="-","-",IF(D74&gt;F74,"EXCESSIVAMENTE ELEVADO","VÁLIDO"))</f>
        <v>-</v>
      </c>
      <c r="H74" s="41" t="str">
        <f t="shared" ref="H74:H84" si="34">IF(G74="EXCESSIVAMENTE ELEVADO","-",D74)</f>
        <v>-</v>
      </c>
      <c r="I74" s="41" t="str">
        <f>IF(H74="-","-",AVERAGE(H$71:H73,H75:H$84))</f>
        <v>-</v>
      </c>
      <c r="J74" s="40" t="str">
        <f>IF(I74="-","-",I74*75%)</f>
        <v>-</v>
      </c>
      <c r="K74" s="41" t="str">
        <f t="shared" ref="K74:K84" si="35">IF(J74="-","-",IF(H74&lt;J74,"INEXEQUÍVEL","VÁLIDO"))</f>
        <v>-</v>
      </c>
      <c r="L74" s="111"/>
      <c r="M74" s="106"/>
      <c r="N74" s="107"/>
      <c r="O74" s="109"/>
      <c r="P74" s="106"/>
    </row>
    <row r="75" spans="1:20" x14ac:dyDescent="0.2">
      <c r="A75" s="37" t="s">
        <v>12</v>
      </c>
      <c r="B75" s="33"/>
      <c r="C75" s="33"/>
      <c r="D75" s="42" t="s">
        <v>18</v>
      </c>
      <c r="E75" s="41" t="str">
        <f>IF(D75="-","-",AVERAGE(D$71:D74,D76:D$84))</f>
        <v>-</v>
      </c>
      <c r="F75" s="41" t="str">
        <f t="shared" ref="F75:F84" si="36">IF(D75="-","-",(E75*25%)+E75)</f>
        <v>-</v>
      </c>
      <c r="G75" s="41" t="str">
        <f t="shared" si="33"/>
        <v>-</v>
      </c>
      <c r="H75" s="41" t="str">
        <f t="shared" si="34"/>
        <v>-</v>
      </c>
      <c r="I75" s="41" t="str">
        <f>IF(H75="-","-",AVERAGE(H$71:H74,H76:H$84))</f>
        <v>-</v>
      </c>
      <c r="J75" s="40" t="str">
        <f t="shared" ref="J75:J77" si="37">IF(I75="-","-",I75*75%)</f>
        <v>-</v>
      </c>
      <c r="K75" s="41" t="str">
        <f t="shared" si="35"/>
        <v>-</v>
      </c>
      <c r="L75" s="111"/>
      <c r="M75" s="106"/>
      <c r="N75" s="107"/>
      <c r="O75" s="109"/>
      <c r="P75" s="106"/>
    </row>
    <row r="76" spans="1:20" ht="22.5" x14ac:dyDescent="0.2">
      <c r="A76" s="99" t="s">
        <v>15</v>
      </c>
      <c r="B76" s="33" t="s">
        <v>31</v>
      </c>
      <c r="C76" s="33">
        <v>170</v>
      </c>
      <c r="D76" s="42">
        <v>63203.5</v>
      </c>
      <c r="E76" s="41">
        <f>IF(D76="-","-",AVERAGE(D$71:D75,D77:D$84))</f>
        <v>125445.65333333334</v>
      </c>
      <c r="F76" s="41">
        <f t="shared" si="36"/>
        <v>156807.06666666668</v>
      </c>
      <c r="G76" s="41" t="str">
        <f>IF(F76="-","-",IF(D76&gt;F76,"EXCESSIVAMENTE ELEVADO","VÁLIDO"))</f>
        <v>VÁLIDO</v>
      </c>
      <c r="H76" s="41">
        <f t="shared" si="34"/>
        <v>63203.5</v>
      </c>
      <c r="I76" s="41">
        <f>IF(H76="-","-",AVERAGE(H$71:H75,H77:H$84))</f>
        <v>86439.75</v>
      </c>
      <c r="J76" s="40">
        <f t="shared" si="37"/>
        <v>64829.8125</v>
      </c>
      <c r="K76" s="41" t="str">
        <f t="shared" si="35"/>
        <v>INEXEQUÍVEL</v>
      </c>
      <c r="L76" s="111"/>
      <c r="M76" s="106"/>
      <c r="N76" s="107"/>
      <c r="O76" s="109"/>
      <c r="P76" s="106"/>
    </row>
    <row r="77" spans="1:20" ht="22.5" x14ac:dyDescent="0.2">
      <c r="A77" s="99"/>
      <c r="B77" s="33" t="s">
        <v>32</v>
      </c>
      <c r="C77" s="33">
        <v>177</v>
      </c>
      <c r="D77" s="42">
        <v>86500</v>
      </c>
      <c r="E77" s="41">
        <f>IF(D77="-","-",AVERAGE(D$71:D76,D78:D$84))</f>
        <v>121562.90333333334</v>
      </c>
      <c r="F77" s="41">
        <f t="shared" si="36"/>
        <v>151953.62916666668</v>
      </c>
      <c r="G77" s="41" t="str">
        <f t="shared" ref="G77:G84" si="38">IF(F77="-","-",IF(D77&gt;F77,"EXCESSIVAMENTE ELEVADO","VÁLIDO"))</f>
        <v>VÁLIDO</v>
      </c>
      <c r="H77" s="41">
        <f t="shared" si="34"/>
        <v>86500</v>
      </c>
      <c r="I77" s="41">
        <f>IF(H77="-","-",AVERAGE(H$71:H76,H78:H$84))</f>
        <v>80615.625</v>
      </c>
      <c r="J77" s="40">
        <f t="shared" si="37"/>
        <v>60461.71875</v>
      </c>
      <c r="K77" s="41" t="str">
        <f t="shared" si="35"/>
        <v>VÁLIDO</v>
      </c>
      <c r="L77" s="111"/>
      <c r="M77" s="106"/>
      <c r="N77" s="107"/>
      <c r="O77" s="109"/>
      <c r="P77" s="106"/>
    </row>
    <row r="78" spans="1:20" ht="22.5" x14ac:dyDescent="0.2">
      <c r="A78" s="99"/>
      <c r="B78" s="33" t="s">
        <v>34</v>
      </c>
      <c r="C78" s="33">
        <v>184</v>
      </c>
      <c r="D78" s="42">
        <v>73500</v>
      </c>
      <c r="E78" s="41">
        <f>IF(D78="-","-",AVERAGE(D$71:D77,D79:D$84))</f>
        <v>123729.57</v>
      </c>
      <c r="F78" s="41">
        <f t="shared" si="36"/>
        <v>154661.96250000002</v>
      </c>
      <c r="G78" s="41" t="str">
        <f t="shared" si="38"/>
        <v>VÁLIDO</v>
      </c>
      <c r="H78" s="41">
        <f t="shared" si="34"/>
        <v>73500</v>
      </c>
      <c r="I78" s="41">
        <f>IF(H78="-","-",AVERAGE(H$71:H77,H79:H$84))</f>
        <v>83865.625</v>
      </c>
      <c r="J78" s="40">
        <f>IF(I78="-","-",I78*75%)</f>
        <v>62899.21875</v>
      </c>
      <c r="K78" s="41" t="str">
        <f t="shared" si="35"/>
        <v>VÁLIDO</v>
      </c>
      <c r="L78" s="111"/>
      <c r="M78" s="106"/>
      <c r="N78" s="107"/>
      <c r="O78" s="109"/>
      <c r="P78" s="106"/>
      <c r="R78" s="72"/>
    </row>
    <row r="79" spans="1:20" ht="22.5" x14ac:dyDescent="0.2">
      <c r="A79" s="99"/>
      <c r="B79" s="33" t="s">
        <v>33</v>
      </c>
      <c r="C79" s="33">
        <v>189</v>
      </c>
      <c r="D79" s="42">
        <v>92039</v>
      </c>
      <c r="E79" s="41">
        <f>IF(D79="-","-",AVERAGE(D$71:D78,D80:D$84))</f>
        <v>120639.73666666668</v>
      </c>
      <c r="F79" s="41">
        <f t="shared" si="36"/>
        <v>150799.67083333334</v>
      </c>
      <c r="G79" s="41" t="str">
        <f t="shared" si="38"/>
        <v>VÁLIDO</v>
      </c>
      <c r="H79" s="41">
        <f t="shared" si="34"/>
        <v>92039</v>
      </c>
      <c r="I79" s="41">
        <f>IF(H79="-","-",AVERAGE(H$71:H78,H80:H$84))</f>
        <v>79230.875</v>
      </c>
      <c r="J79" s="40">
        <f t="shared" ref="J79:J84" si="39">IF(I79="-","-",I79*75%)</f>
        <v>59423.15625</v>
      </c>
      <c r="K79" s="41" t="str">
        <f t="shared" si="35"/>
        <v>VÁLIDO</v>
      </c>
      <c r="L79" s="111"/>
      <c r="M79" s="106"/>
      <c r="N79" s="107"/>
      <c r="O79" s="109"/>
      <c r="P79" s="106"/>
    </row>
    <row r="80" spans="1:20" ht="22.5" x14ac:dyDescent="0.2">
      <c r="A80" s="99"/>
      <c r="B80" s="33" t="s">
        <v>35</v>
      </c>
      <c r="C80" s="33">
        <v>199</v>
      </c>
      <c r="D80" s="42">
        <v>93720</v>
      </c>
      <c r="E80" s="41">
        <f>IF(D80="-","-",AVERAGE(D$71:D79,D81:D$84))</f>
        <v>120359.57</v>
      </c>
      <c r="F80" s="41">
        <f t="shared" si="36"/>
        <v>150449.46250000002</v>
      </c>
      <c r="G80" s="41" t="str">
        <f t="shared" si="38"/>
        <v>VÁLIDO</v>
      </c>
      <c r="H80" s="41">
        <f t="shared" si="34"/>
        <v>93720</v>
      </c>
      <c r="I80" s="41">
        <f>IF(H80="-","-",AVERAGE(H$71:H79,H81:H$84))</f>
        <v>78810.625</v>
      </c>
      <c r="J80" s="40">
        <f t="shared" si="39"/>
        <v>59107.96875</v>
      </c>
      <c r="K80" s="41" t="str">
        <f t="shared" si="35"/>
        <v>VÁLIDO</v>
      </c>
      <c r="L80" s="111"/>
      <c r="M80" s="106"/>
      <c r="N80" s="107"/>
      <c r="O80" s="109"/>
      <c r="P80" s="106"/>
    </row>
    <row r="81" spans="1:16" ht="22.5" x14ac:dyDescent="0.2">
      <c r="A81" s="99"/>
      <c r="B81" s="33" t="s">
        <v>19</v>
      </c>
      <c r="C81" s="33"/>
      <c r="D81" s="42" t="s">
        <v>18</v>
      </c>
      <c r="E81" s="41" t="str">
        <f>IF(D81="-","-",AVERAGE(D$71:D80,D82:D$84))</f>
        <v>-</v>
      </c>
      <c r="F81" s="41" t="str">
        <f t="shared" si="36"/>
        <v>-</v>
      </c>
      <c r="G81" s="41" t="str">
        <f t="shared" si="38"/>
        <v>-</v>
      </c>
      <c r="H81" s="41" t="str">
        <f t="shared" si="34"/>
        <v>-</v>
      </c>
      <c r="I81" s="41" t="str">
        <f>IF(H81="-","-",AVERAGE(H$71:H80,H82:H$84))</f>
        <v>-</v>
      </c>
      <c r="J81" s="40" t="str">
        <f t="shared" si="39"/>
        <v>-</v>
      </c>
      <c r="K81" s="41" t="str">
        <f t="shared" si="35"/>
        <v>-</v>
      </c>
      <c r="L81" s="111"/>
      <c r="M81" s="106"/>
      <c r="N81" s="107"/>
      <c r="O81" s="109"/>
      <c r="P81" s="106"/>
    </row>
    <row r="82" spans="1:16" ht="22.5" x14ac:dyDescent="0.2">
      <c r="A82" s="99"/>
      <c r="B82" s="33" t="s">
        <v>19</v>
      </c>
      <c r="C82" s="33"/>
      <c r="D82" s="42" t="s">
        <v>18</v>
      </c>
      <c r="E82" s="41" t="str">
        <f>IF(D82="-","-",AVERAGE(D$71:D81,D83:D$84))</f>
        <v>-</v>
      </c>
      <c r="F82" s="41" t="str">
        <f t="shared" si="36"/>
        <v>-</v>
      </c>
      <c r="G82" s="41" t="str">
        <f t="shared" si="38"/>
        <v>-</v>
      </c>
      <c r="H82" s="41" t="str">
        <f t="shared" si="34"/>
        <v>-</v>
      </c>
      <c r="I82" s="41" t="str">
        <f>IF(H82="-","-",AVERAGE(H$71:H81,H83:H$84))</f>
        <v>-</v>
      </c>
      <c r="J82" s="40" t="str">
        <f t="shared" si="39"/>
        <v>-</v>
      </c>
      <c r="K82" s="41" t="str">
        <f t="shared" si="35"/>
        <v>-</v>
      </c>
      <c r="L82" s="111"/>
      <c r="M82" s="106"/>
      <c r="N82" s="107"/>
      <c r="O82" s="109"/>
      <c r="P82" s="106"/>
    </row>
    <row r="83" spans="1:16" ht="22.5" x14ac:dyDescent="0.2">
      <c r="A83" s="99"/>
      <c r="B83" s="33" t="s">
        <v>19</v>
      </c>
      <c r="C83" s="33"/>
      <c r="D83" s="42" t="s">
        <v>18</v>
      </c>
      <c r="E83" s="41" t="str">
        <f>IF(D83="-","-",AVERAGE(D$71:D82,D84:D$84))</f>
        <v>-</v>
      </c>
      <c r="F83" s="41" t="str">
        <f t="shared" si="36"/>
        <v>-</v>
      </c>
      <c r="G83" s="41" t="str">
        <f t="shared" si="38"/>
        <v>-</v>
      </c>
      <c r="H83" s="41" t="str">
        <f t="shared" si="34"/>
        <v>-</v>
      </c>
      <c r="I83" s="41" t="str">
        <f>IF(H83="-","-",AVERAGE(H$71:H82,H84:H$84))</f>
        <v>-</v>
      </c>
      <c r="J83" s="40" t="str">
        <f t="shared" si="39"/>
        <v>-</v>
      </c>
      <c r="K83" s="41" t="str">
        <f t="shared" si="35"/>
        <v>-</v>
      </c>
      <c r="L83" s="111"/>
      <c r="M83" s="106"/>
      <c r="N83" s="107"/>
      <c r="O83" s="109"/>
      <c r="P83" s="106"/>
    </row>
    <row r="84" spans="1:16" ht="22.5" x14ac:dyDescent="0.2">
      <c r="A84" s="99"/>
      <c r="B84" s="33" t="s">
        <v>19</v>
      </c>
      <c r="C84" s="33"/>
      <c r="D84" s="42" t="s">
        <v>18</v>
      </c>
      <c r="E84" s="41" t="str">
        <f>IF(D84="-","-",AVERAGE(D$71:D83,D$84:D85))</f>
        <v>-</v>
      </c>
      <c r="F84" s="41" t="str">
        <f t="shared" si="36"/>
        <v>-</v>
      </c>
      <c r="G84" s="41" t="str">
        <f t="shared" si="38"/>
        <v>-</v>
      </c>
      <c r="H84" s="41" t="str">
        <f t="shared" si="34"/>
        <v>-</v>
      </c>
      <c r="I84" s="41" t="str">
        <f>IF(H84="-","-",AVERAGE(H$71:H83,H$84:H85))</f>
        <v>-</v>
      </c>
      <c r="J84" s="40" t="str">
        <f t="shared" si="39"/>
        <v>-</v>
      </c>
      <c r="K84" s="41" t="str">
        <f t="shared" si="35"/>
        <v>-</v>
      </c>
      <c r="L84" s="111"/>
      <c r="M84" s="106"/>
      <c r="N84" s="107"/>
      <c r="O84" s="110"/>
      <c r="P84" s="106"/>
    </row>
    <row r="89" spans="1:16" x14ac:dyDescent="0.2">
      <c r="A89" s="49" t="s">
        <v>0</v>
      </c>
      <c r="B89" s="49" t="s">
        <v>1</v>
      </c>
      <c r="C89" s="73"/>
      <c r="D89" s="49" t="s">
        <v>2</v>
      </c>
      <c r="E89" s="112" t="s">
        <v>3</v>
      </c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</row>
    <row r="90" spans="1:16" x14ac:dyDescent="0.2">
      <c r="A90" s="26">
        <v>2</v>
      </c>
      <c r="B90" s="26">
        <v>12</v>
      </c>
      <c r="C90" s="26"/>
      <c r="D90" s="27" t="s">
        <v>28</v>
      </c>
      <c r="E90" s="113" t="s">
        <v>25</v>
      </c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</row>
    <row r="91" spans="1:16" ht="22.5" x14ac:dyDescent="0.2">
      <c r="A91" s="28" t="s">
        <v>4</v>
      </c>
      <c r="B91" s="28" t="s">
        <v>5</v>
      </c>
      <c r="C91" s="28"/>
      <c r="D91" s="28" t="s">
        <v>6</v>
      </c>
      <c r="E91" s="29" t="s">
        <v>7</v>
      </c>
      <c r="F91" s="30">
        <v>0.25</v>
      </c>
      <c r="G91" s="28" t="s">
        <v>8</v>
      </c>
      <c r="H91" s="28" t="s">
        <v>6</v>
      </c>
      <c r="I91" s="29" t="s">
        <v>7</v>
      </c>
      <c r="J91" s="31">
        <v>0.75</v>
      </c>
      <c r="K91" s="28" t="s">
        <v>8</v>
      </c>
      <c r="L91" s="7" t="s">
        <v>17</v>
      </c>
      <c r="M91" s="32" t="s">
        <v>13</v>
      </c>
      <c r="N91" s="32" t="s">
        <v>14</v>
      </c>
      <c r="O91" s="6" t="s">
        <v>16</v>
      </c>
      <c r="P91" s="28" t="s">
        <v>9</v>
      </c>
    </row>
    <row r="92" spans="1:16" x14ac:dyDescent="0.2">
      <c r="A92" s="48" t="s">
        <v>10</v>
      </c>
      <c r="B92" s="33" t="s">
        <v>18</v>
      </c>
      <c r="C92" s="33"/>
      <c r="D92" s="42" t="s">
        <v>18</v>
      </c>
      <c r="E92" s="41" t="str">
        <f>IF(D92="-","-",AVERAGE(D$93:D$105))</f>
        <v>-</v>
      </c>
      <c r="F92" s="41" t="str">
        <f>IF(D92="-","-",(E92*25%)+E92)</f>
        <v>-</v>
      </c>
      <c r="G92" s="41" t="str">
        <f t="shared" ref="G92:G96" si="40">IF(F92="-","-",IF(D92&gt;F92,"EXCESSIVAMENTE ELEVADO","VÁLIDO"))</f>
        <v>-</v>
      </c>
      <c r="H92" s="41" t="str">
        <f t="shared" ref="H92:H105" si="41">IF(G92="EXCESSIVAMENTE ELEVADO","-",D92)</f>
        <v>-</v>
      </c>
      <c r="I92" s="41" t="str">
        <f>IF(H92="-","-",AVERAGE(H$93:H$105))</f>
        <v>-</v>
      </c>
      <c r="J92" s="40" t="str">
        <f>IF(I92="-","-",I92*75%)</f>
        <v>-</v>
      </c>
      <c r="K92" s="41" t="str">
        <f>IF(J92="-","-",IF(H92&lt;J92,"INEXEQUÍVEL","VÁLIDO"))</f>
        <v>-</v>
      </c>
      <c r="L92" s="111">
        <f>AVERAGEIF(K92:K105,"VÁLIDO",H92:H105)</f>
        <v>24527.273333333334</v>
      </c>
      <c r="M92" s="106" cm="1">
        <f t="array" ref="M92">MEDIAN(IF(K92:K105="VÁLIDO",H92:H105))</f>
        <v>26800</v>
      </c>
      <c r="N92" s="107" cm="1">
        <f t="array" ref="N92">MIN(IF(K92:K105="VÁLIDO",H92:H105))</f>
        <v>7900</v>
      </c>
      <c r="O92" s="108">
        <f>L92</f>
        <v>24527.273333333334</v>
      </c>
      <c r="P92" s="106">
        <f>B90*O92</f>
        <v>294327.28000000003</v>
      </c>
    </row>
    <row r="93" spans="1:16" ht="22.5" x14ac:dyDescent="0.2">
      <c r="A93" s="48" t="s">
        <v>11</v>
      </c>
      <c r="B93" s="33" t="s">
        <v>101</v>
      </c>
      <c r="C93" s="33" t="s">
        <v>110</v>
      </c>
      <c r="D93" s="42">
        <v>7900</v>
      </c>
      <c r="E93" s="41">
        <f>IF(D93="-","-",AVERAGE(D$92:D92,D94:D$105))</f>
        <v>31030.273333333334</v>
      </c>
      <c r="F93" s="41">
        <f>IF(D93="-","-",(E93*25%)+E93)</f>
        <v>38787.841666666667</v>
      </c>
      <c r="G93" s="41" t="str">
        <f t="shared" si="40"/>
        <v>VÁLIDO</v>
      </c>
      <c r="H93" s="41">
        <f t="shared" si="41"/>
        <v>7900</v>
      </c>
      <c r="I93" s="41">
        <f>IF(H93="-","-",AVERAGE(H$92:H92,H94:H$105))</f>
        <v>27852.728000000003</v>
      </c>
      <c r="J93" s="40">
        <f t="shared" ref="J93:J98" si="42">IF(I93="-","-",I93*75%)</f>
        <v>20889.546000000002</v>
      </c>
      <c r="K93" s="41" t="s">
        <v>40</v>
      </c>
      <c r="L93" s="111"/>
      <c r="M93" s="106"/>
      <c r="N93" s="107"/>
      <c r="O93" s="109"/>
      <c r="P93" s="106"/>
    </row>
    <row r="94" spans="1:16" ht="38.25" x14ac:dyDescent="0.2">
      <c r="A94" s="48" t="s">
        <v>11</v>
      </c>
      <c r="B94" s="33" t="s">
        <v>43</v>
      </c>
      <c r="C94" s="33">
        <v>314</v>
      </c>
      <c r="D94" s="42">
        <v>46918</v>
      </c>
      <c r="E94" s="41">
        <f>IF(D94="-","-",AVERAGE(D$92:D93,D95:D$105))</f>
        <v>24527.273333333334</v>
      </c>
      <c r="F94" s="41">
        <f t="shared" ref="F94:F105" si="43">IF(D94="-","-",(E94*25%)+E94)</f>
        <v>30659.091666666667</v>
      </c>
      <c r="G94" s="41" t="str">
        <f t="shared" si="40"/>
        <v>EXCESSIVAMENTE ELEVADO</v>
      </c>
      <c r="H94" s="41" t="str">
        <f t="shared" si="41"/>
        <v>-</v>
      </c>
      <c r="I94" s="41" t="str">
        <f>IF(H94="-","-",AVERAGE(H$92:H93,H95:H$105))</f>
        <v>-</v>
      </c>
      <c r="J94" s="40" t="str">
        <f t="shared" si="42"/>
        <v>-</v>
      </c>
      <c r="K94" s="41" t="str">
        <f t="shared" ref="K94:K105" si="44">IF(J94="-","-",IF(H94&lt;J94,"INEXEQUÍVEL","VÁLIDO"))</f>
        <v>-</v>
      </c>
      <c r="L94" s="111"/>
      <c r="M94" s="106"/>
      <c r="N94" s="107"/>
      <c r="O94" s="109"/>
      <c r="P94" s="106"/>
    </row>
    <row r="95" spans="1:16" x14ac:dyDescent="0.2">
      <c r="A95" s="48" t="s">
        <v>11</v>
      </c>
      <c r="B95" s="33" t="s">
        <v>18</v>
      </c>
      <c r="C95" s="33"/>
      <c r="D95" s="42" t="s">
        <v>18</v>
      </c>
      <c r="E95" s="41" t="str">
        <f>IF(D95="-","-",AVERAGE(D$92:D94,D96:D$105))</f>
        <v>-</v>
      </c>
      <c r="F95" s="41" t="str">
        <f t="shared" si="43"/>
        <v>-</v>
      </c>
      <c r="G95" s="41" t="str">
        <f t="shared" si="40"/>
        <v>-</v>
      </c>
      <c r="H95" s="41" t="str">
        <f t="shared" si="41"/>
        <v>-</v>
      </c>
      <c r="I95" s="41" t="str">
        <f>IF(H95="-","-",AVERAGE(H$92:H94,H96:H$105))</f>
        <v>-</v>
      </c>
      <c r="J95" s="40" t="str">
        <f t="shared" si="42"/>
        <v>-</v>
      </c>
      <c r="K95" s="41" t="str">
        <f t="shared" si="44"/>
        <v>-</v>
      </c>
      <c r="L95" s="111"/>
      <c r="M95" s="106"/>
      <c r="N95" s="107"/>
      <c r="O95" s="109"/>
      <c r="P95" s="106"/>
    </row>
    <row r="96" spans="1:16" x14ac:dyDescent="0.2">
      <c r="A96" s="37" t="s">
        <v>12</v>
      </c>
      <c r="B96" s="33"/>
      <c r="C96" s="33"/>
      <c r="D96" s="42" t="s">
        <v>18</v>
      </c>
      <c r="E96" s="41" t="str">
        <f>IF(D96="-","-",AVERAGE(D$92:D95,D97:D$105))</f>
        <v>-</v>
      </c>
      <c r="F96" s="41" t="str">
        <f t="shared" si="43"/>
        <v>-</v>
      </c>
      <c r="G96" s="41" t="str">
        <f t="shared" si="40"/>
        <v>-</v>
      </c>
      <c r="H96" s="41" t="str">
        <f t="shared" si="41"/>
        <v>-</v>
      </c>
      <c r="I96" s="41" t="str">
        <f>IF(H96="-","-",AVERAGE(H$92:H95,H97:H$105))</f>
        <v>-</v>
      </c>
      <c r="J96" s="40" t="str">
        <f t="shared" si="42"/>
        <v>-</v>
      </c>
      <c r="K96" s="41" t="str">
        <f t="shared" si="44"/>
        <v>-</v>
      </c>
      <c r="L96" s="111"/>
      <c r="M96" s="106"/>
      <c r="N96" s="107"/>
      <c r="O96" s="109"/>
      <c r="P96" s="106"/>
    </row>
    <row r="97" spans="1:18" ht="22.5" x14ac:dyDescent="0.2">
      <c r="A97" s="99" t="s">
        <v>15</v>
      </c>
      <c r="B97" s="33" t="s">
        <v>31</v>
      </c>
      <c r="C97" s="33">
        <v>171</v>
      </c>
      <c r="D97" s="42">
        <v>21856.639999999999</v>
      </c>
      <c r="E97" s="41">
        <f>IF(D97="-","-",AVERAGE(D$92:D96,D98:D$105))</f>
        <v>28704.166666666668</v>
      </c>
      <c r="F97" s="41">
        <f t="shared" si="43"/>
        <v>35880.208333333336</v>
      </c>
      <c r="G97" s="41" t="str">
        <f>IF(F97="-","-",IF(D97&gt;F97,"EXCESSIVAMENTE ELEVADO","VÁLIDO"))</f>
        <v>VÁLIDO</v>
      </c>
      <c r="H97" s="41">
        <f t="shared" si="41"/>
        <v>21856.639999999999</v>
      </c>
      <c r="I97" s="41">
        <f>IF(H97="-","-",AVERAGE(H$92:H96,H98:H$105))</f>
        <v>25061.4</v>
      </c>
      <c r="J97" s="40">
        <f t="shared" si="42"/>
        <v>18796.050000000003</v>
      </c>
      <c r="K97" s="41" t="str">
        <f t="shared" si="44"/>
        <v>VÁLIDO</v>
      </c>
      <c r="L97" s="111"/>
      <c r="M97" s="106"/>
      <c r="N97" s="107"/>
      <c r="O97" s="109"/>
      <c r="P97" s="106"/>
    </row>
    <row r="98" spans="1:18" ht="24.75" customHeight="1" x14ac:dyDescent="0.2">
      <c r="A98" s="99"/>
      <c r="B98" s="33" t="s">
        <v>32</v>
      </c>
      <c r="C98" s="33">
        <v>177</v>
      </c>
      <c r="D98" s="42">
        <v>29700</v>
      </c>
      <c r="E98" s="41">
        <f>IF(D98="-","-",AVERAGE(D$92:D97,D99:D$105))</f>
        <v>27396.940000000002</v>
      </c>
      <c r="F98" s="41">
        <f t="shared" si="43"/>
        <v>34246.175000000003</v>
      </c>
      <c r="G98" s="41" t="str">
        <f t="shared" ref="G98:G105" si="45">IF(F98="-","-",IF(D98&gt;F98,"EXCESSIVAMENTE ELEVADO","VÁLIDO"))</f>
        <v>VÁLIDO</v>
      </c>
      <c r="H98" s="41">
        <f t="shared" si="41"/>
        <v>29700</v>
      </c>
      <c r="I98" s="41">
        <f>IF(H98="-","-",AVERAGE(H$92:H97,H99:H$105))</f>
        <v>23492.727999999999</v>
      </c>
      <c r="J98" s="40">
        <f t="shared" si="42"/>
        <v>17619.545999999998</v>
      </c>
      <c r="K98" s="41" t="str">
        <f t="shared" si="44"/>
        <v>VÁLIDO</v>
      </c>
      <c r="L98" s="111"/>
      <c r="M98" s="106"/>
      <c r="N98" s="107"/>
      <c r="O98" s="109"/>
      <c r="P98" s="106"/>
    </row>
    <row r="99" spans="1:18" ht="28.5" customHeight="1" x14ac:dyDescent="0.2">
      <c r="A99" s="99"/>
      <c r="B99" s="33" t="s">
        <v>34</v>
      </c>
      <c r="C99" s="33">
        <v>184</v>
      </c>
      <c r="D99" s="42">
        <v>23900</v>
      </c>
      <c r="E99" s="41">
        <f>IF(D99="-","-",AVERAGE(D$92:D98,D100:D$105))</f>
        <v>28363.60666666667</v>
      </c>
      <c r="F99" s="41">
        <f t="shared" si="43"/>
        <v>35454.508333333339</v>
      </c>
      <c r="G99" s="41" t="str">
        <f t="shared" si="45"/>
        <v>VÁLIDO</v>
      </c>
      <c r="H99" s="41">
        <f t="shared" si="41"/>
        <v>23900</v>
      </c>
      <c r="I99" s="41">
        <f>IF(H99="-","-",AVERAGE(H$92:H98,H100:H$105))</f>
        <v>24652.727999999999</v>
      </c>
      <c r="J99" s="40">
        <f>IF(I99="-","-",I99*75%)</f>
        <v>18489.545999999998</v>
      </c>
      <c r="K99" s="41" t="str">
        <f t="shared" si="44"/>
        <v>VÁLIDO</v>
      </c>
      <c r="L99" s="111"/>
      <c r="M99" s="106"/>
      <c r="N99" s="107"/>
      <c r="O99" s="109"/>
      <c r="P99" s="106"/>
      <c r="R99" s="76"/>
    </row>
    <row r="100" spans="1:18" ht="22.5" x14ac:dyDescent="0.2">
      <c r="A100" s="99"/>
      <c r="B100" s="33" t="s">
        <v>33</v>
      </c>
      <c r="C100" s="33">
        <v>189</v>
      </c>
      <c r="D100" s="42">
        <v>31937</v>
      </c>
      <c r="E100" s="41">
        <f>IF(D100="-","-",AVERAGE(D$92:D99,D101:D$105))</f>
        <v>27024.10666666667</v>
      </c>
      <c r="F100" s="41">
        <f t="shared" si="43"/>
        <v>33780.133333333339</v>
      </c>
      <c r="G100" s="41" t="str">
        <f t="shared" si="45"/>
        <v>VÁLIDO</v>
      </c>
      <c r="H100" s="41">
        <f t="shared" si="41"/>
        <v>31937</v>
      </c>
      <c r="I100" s="41">
        <f>IF(H100="-","-",AVERAGE(H$92:H99,H101:H$105))</f>
        <v>23045.328000000001</v>
      </c>
      <c r="J100" s="40">
        <f t="shared" ref="J100:J105" si="46">IF(I100="-","-",I100*75%)</f>
        <v>17283.995999999999</v>
      </c>
      <c r="K100" s="41" t="str">
        <f t="shared" si="44"/>
        <v>VÁLIDO</v>
      </c>
      <c r="L100" s="111"/>
      <c r="M100" s="106"/>
      <c r="N100" s="107"/>
      <c r="O100" s="109"/>
      <c r="P100" s="106"/>
      <c r="R100" s="76"/>
    </row>
    <row r="101" spans="1:18" ht="22.5" x14ac:dyDescent="0.2">
      <c r="A101" s="99"/>
      <c r="B101" s="33" t="s">
        <v>35</v>
      </c>
      <c r="C101" s="33">
        <v>199</v>
      </c>
      <c r="D101" s="42">
        <v>31870</v>
      </c>
      <c r="E101" s="41">
        <f>IF(D101="-","-",AVERAGE(D$92:D100,D102:D$105))</f>
        <v>27035.273333333334</v>
      </c>
      <c r="F101" s="41">
        <f t="shared" si="43"/>
        <v>33794.091666666667</v>
      </c>
      <c r="G101" s="41" t="str">
        <f t="shared" si="45"/>
        <v>VÁLIDO</v>
      </c>
      <c r="H101" s="41">
        <f t="shared" si="41"/>
        <v>31870</v>
      </c>
      <c r="I101" s="41">
        <f>IF(H101="-","-",AVERAGE(H$92:H100,H102:H$105))</f>
        <v>23058.727999999999</v>
      </c>
      <c r="J101" s="40">
        <f t="shared" si="46"/>
        <v>17294.045999999998</v>
      </c>
      <c r="K101" s="41" t="str">
        <f t="shared" si="44"/>
        <v>VÁLIDO</v>
      </c>
      <c r="L101" s="111"/>
      <c r="M101" s="106"/>
      <c r="N101" s="107"/>
      <c r="O101" s="109"/>
      <c r="P101" s="106"/>
    </row>
    <row r="102" spans="1:18" ht="22.5" x14ac:dyDescent="0.2">
      <c r="A102" s="99"/>
      <c r="B102" s="33" t="s">
        <v>19</v>
      </c>
      <c r="C102" s="33"/>
      <c r="D102" s="42" t="s">
        <v>18</v>
      </c>
      <c r="E102" s="41" t="str">
        <f>IF(D102="-","-",AVERAGE(D$92:D101,D103:D$105))</f>
        <v>-</v>
      </c>
      <c r="F102" s="41" t="str">
        <f t="shared" si="43"/>
        <v>-</v>
      </c>
      <c r="G102" s="41" t="str">
        <f t="shared" si="45"/>
        <v>-</v>
      </c>
      <c r="H102" s="41" t="str">
        <f t="shared" si="41"/>
        <v>-</v>
      </c>
      <c r="I102" s="41" t="str">
        <f>IF(H102="-","-",AVERAGE(H$92:H101,H103:H$105))</f>
        <v>-</v>
      </c>
      <c r="J102" s="40" t="str">
        <f t="shared" si="46"/>
        <v>-</v>
      </c>
      <c r="K102" s="41" t="str">
        <f t="shared" si="44"/>
        <v>-</v>
      </c>
      <c r="L102" s="111"/>
      <c r="M102" s="106"/>
      <c r="N102" s="107"/>
      <c r="O102" s="109"/>
      <c r="P102" s="106"/>
    </row>
    <row r="103" spans="1:18" ht="22.5" x14ac:dyDescent="0.2">
      <c r="A103" s="99"/>
      <c r="B103" s="33" t="s">
        <v>19</v>
      </c>
      <c r="C103" s="33"/>
      <c r="D103" s="42" t="s">
        <v>18</v>
      </c>
      <c r="E103" s="41" t="str">
        <f>IF(D103="-","-",AVERAGE(D$92:D102,D104:D$105))</f>
        <v>-</v>
      </c>
      <c r="F103" s="41" t="str">
        <f t="shared" si="43"/>
        <v>-</v>
      </c>
      <c r="G103" s="41" t="str">
        <f t="shared" si="45"/>
        <v>-</v>
      </c>
      <c r="H103" s="41" t="str">
        <f t="shared" si="41"/>
        <v>-</v>
      </c>
      <c r="I103" s="41" t="str">
        <f>IF(H103="-","-",AVERAGE(H$92:H102,H104:H$105))</f>
        <v>-</v>
      </c>
      <c r="J103" s="40" t="str">
        <f t="shared" si="46"/>
        <v>-</v>
      </c>
      <c r="K103" s="41" t="str">
        <f t="shared" si="44"/>
        <v>-</v>
      </c>
      <c r="L103" s="111"/>
      <c r="M103" s="106"/>
      <c r="N103" s="107"/>
      <c r="O103" s="109"/>
      <c r="P103" s="106"/>
    </row>
    <row r="104" spans="1:18" ht="22.5" x14ac:dyDescent="0.2">
      <c r="A104" s="99"/>
      <c r="B104" s="33" t="s">
        <v>19</v>
      </c>
      <c r="C104" s="33"/>
      <c r="D104" s="42" t="s">
        <v>18</v>
      </c>
      <c r="E104" s="41" t="str">
        <f>IF(D104="-","-",AVERAGE(D$92:D103,D105:D$105))</f>
        <v>-</v>
      </c>
      <c r="F104" s="41" t="str">
        <f t="shared" si="43"/>
        <v>-</v>
      </c>
      <c r="G104" s="41" t="str">
        <f t="shared" si="45"/>
        <v>-</v>
      </c>
      <c r="H104" s="41" t="str">
        <f t="shared" si="41"/>
        <v>-</v>
      </c>
      <c r="I104" s="41" t="str">
        <f>IF(H104="-","-",AVERAGE(H$92:H103,H105:H$105))</f>
        <v>-</v>
      </c>
      <c r="J104" s="40" t="str">
        <f t="shared" si="46"/>
        <v>-</v>
      </c>
      <c r="K104" s="41" t="str">
        <f t="shared" si="44"/>
        <v>-</v>
      </c>
      <c r="L104" s="111"/>
      <c r="M104" s="106"/>
      <c r="N104" s="107"/>
      <c r="O104" s="109"/>
      <c r="P104" s="106"/>
    </row>
    <row r="105" spans="1:18" ht="22.5" x14ac:dyDescent="0.2">
      <c r="A105" s="99"/>
      <c r="B105" s="33" t="s">
        <v>19</v>
      </c>
      <c r="C105" s="33"/>
      <c r="D105" s="42" t="s">
        <v>18</v>
      </c>
      <c r="E105" s="41" t="str">
        <f>IF(D105="-","-",AVERAGE(D$92:D104,D$105:D106))</f>
        <v>-</v>
      </c>
      <c r="F105" s="41" t="str">
        <f t="shared" si="43"/>
        <v>-</v>
      </c>
      <c r="G105" s="41" t="str">
        <f t="shared" si="45"/>
        <v>-</v>
      </c>
      <c r="H105" s="41" t="str">
        <f t="shared" si="41"/>
        <v>-</v>
      </c>
      <c r="I105" s="41" t="str">
        <f>IF(H105="-","-",AVERAGE(H$92:H104,H$105:H106))</f>
        <v>-</v>
      </c>
      <c r="J105" s="40" t="str">
        <f t="shared" si="46"/>
        <v>-</v>
      </c>
      <c r="K105" s="41" t="str">
        <f t="shared" si="44"/>
        <v>-</v>
      </c>
      <c r="L105" s="111"/>
      <c r="M105" s="106"/>
      <c r="N105" s="107"/>
      <c r="O105" s="110"/>
      <c r="P105" s="106"/>
    </row>
    <row r="112" spans="1:18" x14ac:dyDescent="0.2">
      <c r="A112" s="49" t="s">
        <v>0</v>
      </c>
      <c r="B112" s="49" t="s">
        <v>1</v>
      </c>
      <c r="C112" s="73"/>
      <c r="D112" s="49" t="s">
        <v>2</v>
      </c>
      <c r="E112" s="112" t="s">
        <v>3</v>
      </c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</row>
    <row r="113" spans="1:18" x14ac:dyDescent="0.2">
      <c r="A113" s="26">
        <v>3</v>
      </c>
      <c r="B113" s="26">
        <v>192</v>
      </c>
      <c r="C113" s="26"/>
      <c r="D113" s="27" t="s">
        <v>27</v>
      </c>
      <c r="E113" s="113" t="s">
        <v>29</v>
      </c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</row>
    <row r="114" spans="1:18" ht="22.5" x14ac:dyDescent="0.2">
      <c r="A114" s="28" t="s">
        <v>4</v>
      </c>
      <c r="B114" s="28" t="s">
        <v>5</v>
      </c>
      <c r="C114" s="28"/>
      <c r="D114" s="28" t="s">
        <v>6</v>
      </c>
      <c r="E114" s="29" t="s">
        <v>7</v>
      </c>
      <c r="F114" s="30">
        <v>0.25</v>
      </c>
      <c r="G114" s="28" t="s">
        <v>8</v>
      </c>
      <c r="H114" s="28" t="s">
        <v>6</v>
      </c>
      <c r="I114" s="29" t="s">
        <v>7</v>
      </c>
      <c r="J114" s="31">
        <v>0.75</v>
      </c>
      <c r="K114" s="28" t="s">
        <v>8</v>
      </c>
      <c r="L114" s="7" t="s">
        <v>17</v>
      </c>
      <c r="M114" s="32" t="s">
        <v>13</v>
      </c>
      <c r="N114" s="32" t="s">
        <v>14</v>
      </c>
      <c r="O114" s="6" t="s">
        <v>16</v>
      </c>
      <c r="P114" s="28" t="s">
        <v>9</v>
      </c>
    </row>
    <row r="115" spans="1:18" x14ac:dyDescent="0.2">
      <c r="A115" s="48" t="s">
        <v>10</v>
      </c>
      <c r="B115" s="33" t="s">
        <v>18</v>
      </c>
      <c r="C115" s="33"/>
      <c r="D115" s="42" t="s">
        <v>18</v>
      </c>
      <c r="E115" s="41" t="str">
        <f>IF(D115="-","-",AVERAGE(D$116:D$128))</f>
        <v>-</v>
      </c>
      <c r="F115" s="41" t="str">
        <f>IF(D115="-","-",(E115*25%)+E115)</f>
        <v>-</v>
      </c>
      <c r="G115" s="41" t="str">
        <f t="shared" ref="G115:G119" si="47">IF(F115="-","-",IF(D115&gt;F115,"EXCESSIVAMENTE ELEVADO","VÁLIDO"))</f>
        <v>-</v>
      </c>
      <c r="H115" s="41" t="str">
        <f t="shared" ref="H115:H128" si="48">IF(G115="EXCESSIVAMENTE ELEVADO","-",D115)</f>
        <v>-</v>
      </c>
      <c r="I115" s="41" t="str">
        <f>IF(H115="-","-",AVERAGE(H$116:H$128))</f>
        <v>-</v>
      </c>
      <c r="J115" s="40" t="str">
        <f>IF(I115="-","-",I115*75%)</f>
        <v>-</v>
      </c>
      <c r="K115" s="41" t="str">
        <f>IF(J115="-","-",IF(H115&lt;J115,"INEXEQUÍVEL","VÁLIDO"))</f>
        <v>-</v>
      </c>
      <c r="L115" s="111">
        <f>AVERAGEIF(K115:K128,"VÁLIDO",H115:H128)</f>
        <v>235.81666666666669</v>
      </c>
      <c r="M115" s="106" cm="1">
        <f t="array" ref="M115">MEDIAN(IF(K115:K128="VÁLIDO",H115:H128))</f>
        <v>244.5</v>
      </c>
      <c r="N115" s="107" cm="1">
        <f t="array" ref="N115">MIN(IF(K115:K128="VÁLIDO",H115:H128))</f>
        <v>176.4</v>
      </c>
      <c r="O115" s="108">
        <f>L115</f>
        <v>235.81666666666669</v>
      </c>
      <c r="P115" s="106">
        <f>B113*O115</f>
        <v>45276.800000000003</v>
      </c>
    </row>
    <row r="116" spans="1:18" x14ac:dyDescent="0.2">
      <c r="A116" s="48" t="s">
        <v>11</v>
      </c>
      <c r="B116" s="33" t="s">
        <v>18</v>
      </c>
      <c r="C116" s="33"/>
      <c r="D116" s="42" t="s">
        <v>18</v>
      </c>
      <c r="E116" s="41" t="str">
        <f>IF(D116="-","-",AVERAGE(D$115:D115,D117:D$128))</f>
        <v>-</v>
      </c>
      <c r="F116" s="41" t="str">
        <f>IF(D116="-","-",(E116*25%)+E116)</f>
        <v>-</v>
      </c>
      <c r="G116" s="41" t="str">
        <f t="shared" si="47"/>
        <v>-</v>
      </c>
      <c r="H116" s="41" t="str">
        <f t="shared" si="48"/>
        <v>-</v>
      </c>
      <c r="I116" s="41" t="str">
        <f>IF(H116="-","-",AVERAGE(H$115:H115,H117:H$128))</f>
        <v>-</v>
      </c>
      <c r="J116" s="40" t="str">
        <f t="shared" ref="J116:J121" si="49">IF(I116="-","-",I116*75%)</f>
        <v>-</v>
      </c>
      <c r="K116" s="41" t="str">
        <f t="shared" ref="K116:K128" si="50">IF(J116="-","-",IF(H116&lt;J116,"INEXEQUÍVEL","VÁLIDO"))</f>
        <v>-</v>
      </c>
      <c r="L116" s="111"/>
      <c r="M116" s="106"/>
      <c r="N116" s="107"/>
      <c r="O116" s="109"/>
      <c r="P116" s="106"/>
    </row>
    <row r="117" spans="1:18" ht="22.5" x14ac:dyDescent="0.2">
      <c r="A117" s="48" t="s">
        <v>11</v>
      </c>
      <c r="B117" s="33" t="s">
        <v>43</v>
      </c>
      <c r="C117" s="33">
        <v>314</v>
      </c>
      <c r="D117" s="42">
        <v>176.4</v>
      </c>
      <c r="E117" s="41">
        <f>IF(D117="-","-",AVERAGE(D$115:D116,D118:D$128))</f>
        <v>247.7</v>
      </c>
      <c r="F117" s="41">
        <f t="shared" ref="F117:F128" si="51">IF(D117="-","-",(E117*25%)+E117)</f>
        <v>309.625</v>
      </c>
      <c r="G117" s="41" t="str">
        <f t="shared" si="47"/>
        <v>VÁLIDO</v>
      </c>
      <c r="H117" s="41">
        <f t="shared" si="48"/>
        <v>176.4</v>
      </c>
      <c r="I117" s="41">
        <f>IF(H117="-","-",AVERAGE(H$115:H116,H118:H$128))</f>
        <v>247.7</v>
      </c>
      <c r="J117" s="40">
        <f t="shared" si="49"/>
        <v>185.77499999999998</v>
      </c>
      <c r="K117" s="41" t="s">
        <v>40</v>
      </c>
      <c r="L117" s="111"/>
      <c r="M117" s="106"/>
      <c r="N117" s="107"/>
      <c r="O117" s="109"/>
      <c r="P117" s="106"/>
    </row>
    <row r="118" spans="1:18" x14ac:dyDescent="0.2">
      <c r="A118" s="48" t="s">
        <v>11</v>
      </c>
      <c r="B118" s="33" t="s">
        <v>18</v>
      </c>
      <c r="C118" s="33"/>
      <c r="D118" s="42" t="s">
        <v>18</v>
      </c>
      <c r="E118" s="41" t="str">
        <f>IF(D118="-","-",AVERAGE(D$115:D117,D119:D$128))</f>
        <v>-</v>
      </c>
      <c r="F118" s="41" t="str">
        <f t="shared" si="51"/>
        <v>-</v>
      </c>
      <c r="G118" s="41" t="str">
        <f t="shared" si="47"/>
        <v>-</v>
      </c>
      <c r="H118" s="41" t="str">
        <f t="shared" si="48"/>
        <v>-</v>
      </c>
      <c r="I118" s="41" t="str">
        <f>IF(H118="-","-",AVERAGE(H$115:H117,H119:H$128))</f>
        <v>-</v>
      </c>
      <c r="J118" s="40" t="str">
        <f t="shared" si="49"/>
        <v>-</v>
      </c>
      <c r="K118" s="41" t="str">
        <f t="shared" si="50"/>
        <v>-</v>
      </c>
      <c r="L118" s="111"/>
      <c r="M118" s="106"/>
      <c r="N118" s="107"/>
      <c r="O118" s="109"/>
      <c r="P118" s="106"/>
    </row>
    <row r="119" spans="1:18" x14ac:dyDescent="0.2">
      <c r="A119" s="37" t="s">
        <v>12</v>
      </c>
      <c r="B119" s="33"/>
      <c r="C119" s="33"/>
      <c r="D119" s="42" t="s">
        <v>18</v>
      </c>
      <c r="E119" s="41" t="str">
        <f>IF(D119="-","-",AVERAGE(D$115:D118,D120:D$128))</f>
        <v>-</v>
      </c>
      <c r="F119" s="41" t="str">
        <f t="shared" si="51"/>
        <v>-</v>
      </c>
      <c r="G119" s="41" t="str">
        <f t="shared" si="47"/>
        <v>-</v>
      </c>
      <c r="H119" s="41" t="str">
        <f t="shared" si="48"/>
        <v>-</v>
      </c>
      <c r="I119" s="41" t="str">
        <f>IF(H119="-","-",AVERAGE(H$115:H118,H120:H$128))</f>
        <v>-</v>
      </c>
      <c r="J119" s="40" t="str">
        <f t="shared" si="49"/>
        <v>-</v>
      </c>
      <c r="K119" s="41" t="str">
        <f t="shared" si="50"/>
        <v>-</v>
      </c>
      <c r="L119" s="111"/>
      <c r="M119" s="106"/>
      <c r="N119" s="107"/>
      <c r="O119" s="109"/>
      <c r="P119" s="106"/>
    </row>
    <row r="120" spans="1:18" ht="22.5" x14ac:dyDescent="0.2">
      <c r="A120" s="99" t="s">
        <v>15</v>
      </c>
      <c r="B120" s="33" t="s">
        <v>31</v>
      </c>
      <c r="C120" s="33">
        <v>171</v>
      </c>
      <c r="D120" s="42">
        <v>231.5</v>
      </c>
      <c r="E120" s="41">
        <f>IF(D120="-","-",AVERAGE(D$115:D119,D121:D$128))</f>
        <v>236.68</v>
      </c>
      <c r="F120" s="41">
        <f t="shared" si="51"/>
        <v>295.85000000000002</v>
      </c>
      <c r="G120" s="41" t="str">
        <f>IF(F120="-","-",IF(D120&gt;F120,"EXCESSIVAMENTE ELEVADO","VÁLIDO"))</f>
        <v>VÁLIDO</v>
      </c>
      <c r="H120" s="41">
        <f t="shared" si="48"/>
        <v>231.5</v>
      </c>
      <c r="I120" s="41">
        <f>IF(H120="-","-",AVERAGE(H$115:H119,H121:H$128))</f>
        <v>236.68</v>
      </c>
      <c r="J120" s="40">
        <f t="shared" si="49"/>
        <v>177.51</v>
      </c>
      <c r="K120" s="41" t="str">
        <f t="shared" si="50"/>
        <v>VÁLIDO</v>
      </c>
      <c r="L120" s="111"/>
      <c r="M120" s="106"/>
      <c r="N120" s="107"/>
      <c r="O120" s="109"/>
      <c r="P120" s="106"/>
    </row>
    <row r="121" spans="1:18" ht="22.5" x14ac:dyDescent="0.2">
      <c r="A121" s="99"/>
      <c r="B121" s="33" t="s">
        <v>32</v>
      </c>
      <c r="C121" s="33">
        <v>177</v>
      </c>
      <c r="D121" s="42">
        <v>245</v>
      </c>
      <c r="E121" s="41">
        <f>IF(D121="-","-",AVERAGE(D$115:D120,D122:D$128))</f>
        <v>233.98000000000002</v>
      </c>
      <c r="F121" s="41">
        <f t="shared" si="51"/>
        <v>292.47500000000002</v>
      </c>
      <c r="G121" s="41" t="str">
        <f t="shared" ref="G121:G128" si="52">IF(F121="-","-",IF(D121&gt;F121,"EXCESSIVAMENTE ELEVADO","VÁLIDO"))</f>
        <v>VÁLIDO</v>
      </c>
      <c r="H121" s="41">
        <f t="shared" si="48"/>
        <v>245</v>
      </c>
      <c r="I121" s="41">
        <f>IF(H121="-","-",AVERAGE(H$115:H120,H122:H$128))</f>
        <v>233.98000000000002</v>
      </c>
      <c r="J121" s="40">
        <f t="shared" si="49"/>
        <v>175.48500000000001</v>
      </c>
      <c r="K121" s="41" t="str">
        <f t="shared" si="50"/>
        <v>VÁLIDO</v>
      </c>
      <c r="L121" s="111"/>
      <c r="M121" s="106"/>
      <c r="N121" s="107"/>
      <c r="O121" s="109"/>
      <c r="P121" s="106"/>
      <c r="R121" s="72">
        <f>P71</f>
        <v>86439.75</v>
      </c>
    </row>
    <row r="122" spans="1:18" ht="22.5" x14ac:dyDescent="0.2">
      <c r="A122" s="99"/>
      <c r="B122" s="33" t="s">
        <v>34</v>
      </c>
      <c r="C122" s="33">
        <v>184</v>
      </c>
      <c r="D122" s="42">
        <v>250</v>
      </c>
      <c r="E122" s="41">
        <f>IF(D122="-","-",AVERAGE(D$115:D121,D123:D$128))</f>
        <v>232.98000000000002</v>
      </c>
      <c r="F122" s="41">
        <f t="shared" si="51"/>
        <v>291.22500000000002</v>
      </c>
      <c r="G122" s="41" t="str">
        <f t="shared" si="52"/>
        <v>VÁLIDO</v>
      </c>
      <c r="H122" s="41">
        <f t="shared" si="48"/>
        <v>250</v>
      </c>
      <c r="I122" s="41">
        <f>IF(H122="-","-",AVERAGE(H$115:H121,H123:H$128))</f>
        <v>232.98000000000002</v>
      </c>
      <c r="J122" s="40">
        <f>IF(I122="-","-",I122*75%)</f>
        <v>174.73500000000001</v>
      </c>
      <c r="K122" s="41" t="str">
        <f t="shared" si="50"/>
        <v>VÁLIDO</v>
      </c>
      <c r="L122" s="111"/>
      <c r="M122" s="106"/>
      <c r="N122" s="107"/>
      <c r="O122" s="109"/>
      <c r="P122" s="106"/>
      <c r="R122" s="98">
        <f>P92/12*7</f>
        <v>171690.91333333333</v>
      </c>
    </row>
    <row r="123" spans="1:18" ht="22.5" x14ac:dyDescent="0.2">
      <c r="A123" s="99"/>
      <c r="B123" s="33" t="s">
        <v>33</v>
      </c>
      <c r="C123" s="33">
        <v>189</v>
      </c>
      <c r="D123" s="42">
        <v>244</v>
      </c>
      <c r="E123" s="41">
        <f>IF(D123="-","-",AVERAGE(D$115:D122,D124:D$128))</f>
        <v>234.18</v>
      </c>
      <c r="F123" s="41">
        <f t="shared" si="51"/>
        <v>292.72500000000002</v>
      </c>
      <c r="G123" s="41" t="str">
        <f t="shared" si="52"/>
        <v>VÁLIDO</v>
      </c>
      <c r="H123" s="41">
        <f t="shared" si="48"/>
        <v>244</v>
      </c>
      <c r="I123" s="41">
        <f>IF(H123="-","-",AVERAGE(H$115:H122,H124:H$128))</f>
        <v>234.18</v>
      </c>
      <c r="J123" s="40">
        <f t="shared" ref="J123:J128" si="53">IF(I123="-","-",I123*75%)</f>
        <v>175.63499999999999</v>
      </c>
      <c r="K123" s="41" t="str">
        <f t="shared" si="50"/>
        <v>VÁLIDO</v>
      </c>
      <c r="L123" s="111"/>
      <c r="M123" s="106"/>
      <c r="N123" s="107"/>
      <c r="O123" s="109"/>
      <c r="P123" s="106"/>
      <c r="R123" s="98">
        <f>P115/12*7</f>
        <v>26411.466666666671</v>
      </c>
    </row>
    <row r="124" spans="1:18" ht="22.5" x14ac:dyDescent="0.2">
      <c r="A124" s="99"/>
      <c r="B124" s="33" t="s">
        <v>35</v>
      </c>
      <c r="C124" s="33">
        <v>199</v>
      </c>
      <c r="D124" s="42">
        <v>268</v>
      </c>
      <c r="E124" s="41">
        <f>IF(D124="-","-",AVERAGE(D$115:D123,D125:D$128))</f>
        <v>229.38000000000002</v>
      </c>
      <c r="F124" s="41">
        <f t="shared" si="51"/>
        <v>286.72500000000002</v>
      </c>
      <c r="G124" s="41" t="str">
        <f t="shared" si="52"/>
        <v>VÁLIDO</v>
      </c>
      <c r="H124" s="41">
        <f t="shared" si="48"/>
        <v>268</v>
      </c>
      <c r="I124" s="41">
        <f>IF(H124="-","-",AVERAGE(H$115:H123,H125:H$128))</f>
        <v>229.38000000000002</v>
      </c>
      <c r="J124" s="40">
        <f t="shared" si="53"/>
        <v>172.03500000000003</v>
      </c>
      <c r="K124" s="41" t="str">
        <f t="shared" si="50"/>
        <v>VÁLIDO</v>
      </c>
      <c r="L124" s="111"/>
      <c r="M124" s="106"/>
      <c r="N124" s="107"/>
      <c r="O124" s="109"/>
      <c r="P124" s="106"/>
      <c r="R124" s="98">
        <f>SUM(R121:R123)</f>
        <v>284542.13</v>
      </c>
    </row>
    <row r="125" spans="1:18" ht="22.5" x14ac:dyDescent="0.2">
      <c r="A125" s="99"/>
      <c r="B125" s="33" t="s">
        <v>19</v>
      </c>
      <c r="C125" s="33"/>
      <c r="D125" s="42" t="s">
        <v>18</v>
      </c>
      <c r="E125" s="41" t="str">
        <f>IF(D125="-","-",AVERAGE(D$115:D124,D126:D$128))</f>
        <v>-</v>
      </c>
      <c r="F125" s="41" t="str">
        <f t="shared" si="51"/>
        <v>-</v>
      </c>
      <c r="G125" s="41" t="str">
        <f t="shared" si="52"/>
        <v>-</v>
      </c>
      <c r="H125" s="41" t="str">
        <f t="shared" si="48"/>
        <v>-</v>
      </c>
      <c r="I125" s="41" t="str">
        <f>IF(H125="-","-",AVERAGE(H$115:H124,H126:H$128))</f>
        <v>-</v>
      </c>
      <c r="J125" s="40" t="str">
        <f t="shared" si="53"/>
        <v>-</v>
      </c>
      <c r="K125" s="41" t="str">
        <f t="shared" si="50"/>
        <v>-</v>
      </c>
      <c r="L125" s="111"/>
      <c r="M125" s="106"/>
      <c r="N125" s="107"/>
      <c r="O125" s="109"/>
      <c r="P125" s="106"/>
    </row>
    <row r="126" spans="1:18" ht="22.5" x14ac:dyDescent="0.2">
      <c r="A126" s="99"/>
      <c r="B126" s="33" t="s">
        <v>19</v>
      </c>
      <c r="C126" s="33"/>
      <c r="D126" s="42" t="s">
        <v>18</v>
      </c>
      <c r="E126" s="41" t="str">
        <f>IF(D126="-","-",AVERAGE(D$115:D125,D127:D$128))</f>
        <v>-</v>
      </c>
      <c r="F126" s="41" t="str">
        <f t="shared" si="51"/>
        <v>-</v>
      </c>
      <c r="G126" s="41" t="str">
        <f t="shared" si="52"/>
        <v>-</v>
      </c>
      <c r="H126" s="41" t="str">
        <f t="shared" si="48"/>
        <v>-</v>
      </c>
      <c r="I126" s="41" t="str">
        <f>IF(H126="-","-",AVERAGE(H$115:H125,H127:H$128))</f>
        <v>-</v>
      </c>
      <c r="J126" s="40" t="str">
        <f t="shared" si="53"/>
        <v>-</v>
      </c>
      <c r="K126" s="41" t="str">
        <f t="shared" si="50"/>
        <v>-</v>
      </c>
      <c r="L126" s="111"/>
      <c r="M126" s="106"/>
      <c r="N126" s="107"/>
      <c r="O126" s="109"/>
      <c r="P126" s="106"/>
    </row>
    <row r="127" spans="1:18" ht="22.5" x14ac:dyDescent="0.2">
      <c r="A127" s="99"/>
      <c r="B127" s="33" t="s">
        <v>19</v>
      </c>
      <c r="C127" s="33"/>
      <c r="D127" s="42" t="s">
        <v>18</v>
      </c>
      <c r="E127" s="41" t="str">
        <f>IF(D127="-","-",AVERAGE(D$115:D126,D128:D$128))</f>
        <v>-</v>
      </c>
      <c r="F127" s="41" t="str">
        <f t="shared" si="51"/>
        <v>-</v>
      </c>
      <c r="G127" s="41" t="str">
        <f t="shared" si="52"/>
        <v>-</v>
      </c>
      <c r="H127" s="41" t="str">
        <f t="shared" si="48"/>
        <v>-</v>
      </c>
      <c r="I127" s="41" t="str">
        <f>IF(H127="-","-",AVERAGE(H$115:H126,H128:H$128))</f>
        <v>-</v>
      </c>
      <c r="J127" s="40" t="str">
        <f t="shared" si="53"/>
        <v>-</v>
      </c>
      <c r="K127" s="41" t="str">
        <f t="shared" si="50"/>
        <v>-</v>
      </c>
      <c r="L127" s="111"/>
      <c r="M127" s="106"/>
      <c r="N127" s="107"/>
      <c r="O127" s="109"/>
      <c r="P127" s="106"/>
    </row>
    <row r="128" spans="1:18" ht="22.5" x14ac:dyDescent="0.2">
      <c r="A128" s="99"/>
      <c r="B128" s="33" t="s">
        <v>19</v>
      </c>
      <c r="C128" s="33"/>
      <c r="D128" s="42" t="s">
        <v>18</v>
      </c>
      <c r="E128" s="41" t="str">
        <f>IF(D128="-","-",AVERAGE(D$115:D127,D$128:D129))</f>
        <v>-</v>
      </c>
      <c r="F128" s="41" t="str">
        <f t="shared" si="51"/>
        <v>-</v>
      </c>
      <c r="G128" s="41" t="str">
        <f t="shared" si="52"/>
        <v>-</v>
      </c>
      <c r="H128" s="41" t="str">
        <f t="shared" si="48"/>
        <v>-</v>
      </c>
      <c r="I128" s="41" t="str">
        <f>IF(H128="-","-",AVERAGE(H$115:H127,H$128:H129))</f>
        <v>-</v>
      </c>
      <c r="J128" s="40" t="str">
        <f t="shared" si="53"/>
        <v>-</v>
      </c>
      <c r="K128" s="41" t="str">
        <f t="shared" si="50"/>
        <v>-</v>
      </c>
      <c r="L128" s="111"/>
      <c r="M128" s="106"/>
      <c r="N128" s="107"/>
      <c r="O128" s="110"/>
      <c r="P128" s="106"/>
    </row>
    <row r="136" spans="1:16" ht="15.75" x14ac:dyDescent="0.2">
      <c r="A136" s="115" t="s">
        <v>98</v>
      </c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7"/>
    </row>
    <row r="137" spans="1:16" x14ac:dyDescent="0.2">
      <c r="A137" s="49" t="s">
        <v>0</v>
      </c>
      <c r="B137" s="49" t="s">
        <v>1</v>
      </c>
      <c r="C137" s="73"/>
      <c r="D137" s="49" t="s">
        <v>2</v>
      </c>
      <c r="E137" s="112" t="s">
        <v>3</v>
      </c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</row>
    <row r="138" spans="1:16" ht="24" customHeight="1" x14ac:dyDescent="0.2">
      <c r="A138" s="26">
        <v>1</v>
      </c>
      <c r="B138" s="26">
        <v>1</v>
      </c>
      <c r="C138" s="26"/>
      <c r="D138" s="27" t="s">
        <v>27</v>
      </c>
      <c r="E138" s="113" t="s">
        <v>24</v>
      </c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</row>
    <row r="139" spans="1:16" ht="22.5" x14ac:dyDescent="0.2">
      <c r="A139" s="28" t="s">
        <v>4</v>
      </c>
      <c r="B139" s="28" t="s">
        <v>5</v>
      </c>
      <c r="C139" s="28"/>
      <c r="D139" s="28" t="s">
        <v>6</v>
      </c>
      <c r="E139" s="29" t="s">
        <v>7</v>
      </c>
      <c r="F139" s="30">
        <v>0.25</v>
      </c>
      <c r="G139" s="28" t="s">
        <v>8</v>
      </c>
      <c r="H139" s="28" t="s">
        <v>6</v>
      </c>
      <c r="I139" s="29" t="s">
        <v>7</v>
      </c>
      <c r="J139" s="31">
        <v>0.75</v>
      </c>
      <c r="K139" s="28" t="s">
        <v>8</v>
      </c>
      <c r="L139" s="7" t="s">
        <v>17</v>
      </c>
      <c r="M139" s="32" t="s">
        <v>13</v>
      </c>
      <c r="N139" s="32" t="s">
        <v>14</v>
      </c>
      <c r="O139" s="6" t="s">
        <v>16</v>
      </c>
      <c r="P139" s="28" t="s">
        <v>9</v>
      </c>
    </row>
    <row r="140" spans="1:16" x14ac:dyDescent="0.2">
      <c r="A140" s="48" t="s">
        <v>10</v>
      </c>
      <c r="B140" s="33" t="s">
        <v>18</v>
      </c>
      <c r="C140" s="33"/>
      <c r="D140" s="42" t="s">
        <v>18</v>
      </c>
      <c r="E140" s="41" t="str">
        <f>IF(D140="-","-",AVERAGE(D$141:D$153))</f>
        <v>-</v>
      </c>
      <c r="F140" s="41" t="str">
        <f>IF(D140="-","-",(E140*25%)+E140)</f>
        <v>-</v>
      </c>
      <c r="G140" s="41" t="str">
        <f t="shared" ref="G140:G141" si="54">IF(F140="-","-",IF(D140&gt;F140,"EXCESSIVAMENTE ELEVADO","VÁLIDO"))</f>
        <v>-</v>
      </c>
      <c r="H140" s="41" t="str">
        <f t="shared" ref="H140:H141" si="55">IF(G140="EXCESSIVAMENTE ELEVADO","-",D140)</f>
        <v>-</v>
      </c>
      <c r="I140" s="41" t="str">
        <f>IF(H140="-","-",AVERAGE(H$141:H$153))</f>
        <v>-</v>
      </c>
      <c r="J140" s="40" t="str">
        <f>IF(I140="-","-",I140*75%)</f>
        <v>-</v>
      </c>
      <c r="K140" s="41" t="str">
        <f>IF(J140="-","-",IF(H140&lt;J140,"INEXEQUÍVEL","VÁLIDO"))</f>
        <v>-</v>
      </c>
      <c r="L140" s="111">
        <f>AVERAGEIF(K140:K153,"VÁLIDO",H140:H153)</f>
        <v>72263.899999999994</v>
      </c>
      <c r="M140" s="106" cm="1">
        <f t="array" ref="M140">MEDIAN(IF(K140:K153="VÁLIDO",H140:H153))</f>
        <v>73000</v>
      </c>
      <c r="N140" s="107" cm="1">
        <f t="array" ref="N140">MIN(IF(K140:K153="VÁLIDO",H140:H153))</f>
        <v>62336</v>
      </c>
      <c r="O140" s="108">
        <f>L140</f>
        <v>72263.899999999994</v>
      </c>
      <c r="P140" s="106">
        <f>B138*O140</f>
        <v>72263.899999999994</v>
      </c>
    </row>
    <row r="141" spans="1:16" ht="38.25" x14ac:dyDescent="0.2">
      <c r="A141" s="48" t="s">
        <v>11</v>
      </c>
      <c r="B141" s="33" t="s">
        <v>101</v>
      </c>
      <c r="C141" s="33" t="s">
        <v>110</v>
      </c>
      <c r="D141" s="42">
        <v>154914.92000000001</v>
      </c>
      <c r="E141" s="41">
        <f>IF(D141="-","-",AVERAGE(D$140:D140,D142:D$153))</f>
        <v>102219.91666666667</v>
      </c>
      <c r="F141" s="41">
        <f>IF(D141="-","-",(E141*25%)+E141)</f>
        <v>127774.89583333334</v>
      </c>
      <c r="G141" s="41" t="str">
        <f t="shared" si="54"/>
        <v>EXCESSIVAMENTE ELEVADO</v>
      </c>
      <c r="H141" s="41" t="str">
        <f t="shared" si="55"/>
        <v>-</v>
      </c>
      <c r="I141" s="41" t="str">
        <f>IF(H141="-","-",AVERAGE(H$140:H140,H142:H$153))</f>
        <v>-</v>
      </c>
      <c r="J141" s="40" t="str">
        <f t="shared" ref="J141:J142" si="56">IF(I141="-","-",I141*75%)</f>
        <v>-</v>
      </c>
      <c r="K141" s="41" t="str">
        <f t="shared" ref="K141" si="57">IF(J141="-","-",IF(H141&lt;J141,"INEXEQUÍVEL","VÁLIDO"))</f>
        <v>-</v>
      </c>
      <c r="L141" s="111"/>
      <c r="M141" s="106"/>
      <c r="N141" s="107"/>
      <c r="O141" s="109"/>
      <c r="P141" s="106"/>
    </row>
    <row r="142" spans="1:16" ht="38.25" x14ac:dyDescent="0.2">
      <c r="A142" s="48" t="s">
        <v>11</v>
      </c>
      <c r="B142" s="33" t="s">
        <v>43</v>
      </c>
      <c r="C142" s="33">
        <v>314</v>
      </c>
      <c r="D142" s="42">
        <v>252000</v>
      </c>
      <c r="E142" s="41">
        <f>IF(D142="-","-",AVERAGE(D$140:D141,D143:D$153))</f>
        <v>86039.07</v>
      </c>
      <c r="F142" s="41">
        <f t="shared" ref="F142" si="58">IF(D142="-","-",(E142*25%)+E142)</f>
        <v>107548.83750000001</v>
      </c>
      <c r="G142" s="41" t="str">
        <f>IF(F142="-","-",IF(D142&gt;F142,"EXCESSIVAMENTE ELEVADO","VÁLIDO"))</f>
        <v>EXCESSIVAMENTE ELEVADO</v>
      </c>
      <c r="H142" s="41" t="str">
        <f>IF(G142="EXCESSIVAMENTE ELEVADO","-",D142)</f>
        <v>-</v>
      </c>
      <c r="I142" s="41" t="str">
        <f>IF(H142="-","-",AVERAGE(H$140:H141,H143:H$153))</f>
        <v>-</v>
      </c>
      <c r="J142" s="40" t="str">
        <f t="shared" si="56"/>
        <v>-</v>
      </c>
      <c r="K142" s="41" t="str">
        <f>IF(J142="-","-",IF(H142&lt;J142,"INEXEQUÍVEL","VÁLIDO"))</f>
        <v>-</v>
      </c>
      <c r="L142" s="111"/>
      <c r="M142" s="106"/>
      <c r="N142" s="107"/>
      <c r="O142" s="109"/>
      <c r="P142" s="106"/>
    </row>
    <row r="143" spans="1:16" x14ac:dyDescent="0.2">
      <c r="A143" s="48" t="s">
        <v>11</v>
      </c>
      <c r="B143" s="33" t="s">
        <v>18</v>
      </c>
      <c r="C143" s="33"/>
      <c r="D143" s="42" t="s">
        <v>18</v>
      </c>
      <c r="E143" s="41" t="str">
        <f>IF(D143="-","-",AVERAGE(D$140:D142,D144:D$153))</f>
        <v>-</v>
      </c>
      <c r="F143" s="41" t="str">
        <f>IF(D143="-","-",(E143*25%)+E143)</f>
        <v>-</v>
      </c>
      <c r="G143" s="41" t="str">
        <f t="shared" ref="G143:G144" si="59">IF(F143="-","-",IF(D143&gt;F143,"EXCESSIVAMENTE ELEVADO","VÁLIDO"))</f>
        <v>-</v>
      </c>
      <c r="H143" s="41" t="str">
        <f t="shared" ref="H143:H153" si="60">IF(G143="EXCESSIVAMENTE ELEVADO","-",D143)</f>
        <v>-</v>
      </c>
      <c r="I143" s="41" t="str">
        <f>IF(H143="-","-",AVERAGE(H$140:H142,H144:H$153))</f>
        <v>-</v>
      </c>
      <c r="J143" s="40" t="str">
        <f>IF(I143="-","-",I143*75%)</f>
        <v>-</v>
      </c>
      <c r="K143" s="41" t="str">
        <f t="shared" ref="K143:K153" si="61">IF(J143="-","-",IF(H143&lt;J143,"INEXEQUÍVEL","VÁLIDO"))</f>
        <v>-</v>
      </c>
      <c r="L143" s="111"/>
      <c r="M143" s="106"/>
      <c r="N143" s="107"/>
      <c r="O143" s="109"/>
      <c r="P143" s="106"/>
    </row>
    <row r="144" spans="1:16" x14ac:dyDescent="0.2">
      <c r="A144" s="37" t="s">
        <v>12</v>
      </c>
      <c r="B144" s="33" t="s">
        <v>18</v>
      </c>
      <c r="C144" s="33"/>
      <c r="D144" s="42" t="s">
        <v>18</v>
      </c>
      <c r="E144" s="41" t="str">
        <f>IF(D144="-","-",AVERAGE(D$140:D143,D145:D$153))</f>
        <v>-</v>
      </c>
      <c r="F144" s="41" t="str">
        <f t="shared" ref="F144:F153" si="62">IF(D144="-","-",(E144*25%)+E144)</f>
        <v>-</v>
      </c>
      <c r="G144" s="41" t="str">
        <f t="shared" si="59"/>
        <v>-</v>
      </c>
      <c r="H144" s="41" t="str">
        <f t="shared" si="60"/>
        <v>-</v>
      </c>
      <c r="I144" s="41" t="str">
        <f>IF(H144="-","-",AVERAGE(H$140:H143,H145:H$153))</f>
        <v>-</v>
      </c>
      <c r="J144" s="40" t="str">
        <f t="shared" ref="J144:J146" si="63">IF(I144="-","-",I144*75%)</f>
        <v>-</v>
      </c>
      <c r="K144" s="41" t="str">
        <f t="shared" si="61"/>
        <v>-</v>
      </c>
      <c r="L144" s="111"/>
      <c r="M144" s="106"/>
      <c r="N144" s="107"/>
      <c r="O144" s="109"/>
      <c r="P144" s="106"/>
    </row>
    <row r="145" spans="1:16" ht="22.5" x14ac:dyDescent="0.2">
      <c r="A145" s="99" t="s">
        <v>15</v>
      </c>
      <c r="B145" s="33" t="s">
        <v>31</v>
      </c>
      <c r="C145" s="33">
        <v>171</v>
      </c>
      <c r="D145" s="42">
        <v>63203.5</v>
      </c>
      <c r="E145" s="41">
        <f>IF(D145="-","-",AVERAGE(D$140:D144,D146:D$153))</f>
        <v>117505.15333333334</v>
      </c>
      <c r="F145" s="41">
        <f t="shared" si="62"/>
        <v>146881.44166666668</v>
      </c>
      <c r="G145" s="41" t="str">
        <f>IF(F145="-","-",IF(D145&gt;F145,"EXCESSIVAMENTE ELEVADO","VÁLIDO"))</f>
        <v>VÁLIDO</v>
      </c>
      <c r="H145" s="41">
        <f t="shared" si="60"/>
        <v>63203.5</v>
      </c>
      <c r="I145" s="41">
        <f>IF(H145="-","-",AVERAGE(H$140:H144,H146:H$153))</f>
        <v>74529</v>
      </c>
      <c r="J145" s="40">
        <f t="shared" si="63"/>
        <v>55896.75</v>
      </c>
      <c r="K145" s="41" t="str">
        <f t="shared" si="61"/>
        <v>VÁLIDO</v>
      </c>
      <c r="L145" s="111"/>
      <c r="M145" s="106"/>
      <c r="N145" s="107"/>
      <c r="O145" s="109"/>
      <c r="P145" s="106"/>
    </row>
    <row r="146" spans="1:16" ht="22.5" x14ac:dyDescent="0.2">
      <c r="A146" s="99"/>
      <c r="B146" s="33" t="s">
        <v>32</v>
      </c>
      <c r="C146" s="33">
        <v>178</v>
      </c>
      <c r="D146" s="42">
        <v>79500</v>
      </c>
      <c r="E146" s="41">
        <f>IF(D146="-","-",AVERAGE(D$140:D145,D147:D$153))</f>
        <v>114789.07</v>
      </c>
      <c r="F146" s="41">
        <f t="shared" si="62"/>
        <v>143486.33750000002</v>
      </c>
      <c r="G146" s="41" t="str">
        <f t="shared" ref="G146:G153" si="64">IF(F146="-","-",IF(D146&gt;F146,"EXCESSIVAMENTE ELEVADO","VÁLIDO"))</f>
        <v>VÁLIDO</v>
      </c>
      <c r="H146" s="41">
        <f t="shared" si="60"/>
        <v>79500</v>
      </c>
      <c r="I146" s="41">
        <f>IF(H146="-","-",AVERAGE(H$140:H145,H147:H$153))</f>
        <v>70454.875</v>
      </c>
      <c r="J146" s="40">
        <f t="shared" si="63"/>
        <v>52841.15625</v>
      </c>
      <c r="K146" s="41" t="str">
        <f t="shared" si="61"/>
        <v>VÁLIDO</v>
      </c>
      <c r="L146" s="111"/>
      <c r="M146" s="106"/>
      <c r="N146" s="107"/>
      <c r="O146" s="109"/>
      <c r="P146" s="106"/>
    </row>
    <row r="147" spans="1:16" ht="22.5" x14ac:dyDescent="0.2">
      <c r="A147" s="99"/>
      <c r="B147" s="33" t="s">
        <v>34</v>
      </c>
      <c r="C147" s="33">
        <v>185</v>
      </c>
      <c r="D147" s="42">
        <v>73000</v>
      </c>
      <c r="E147" s="41">
        <f>IF(D147="-","-",AVERAGE(D$140:D146,D148:D$153))</f>
        <v>115872.40333333334</v>
      </c>
      <c r="F147" s="41">
        <f t="shared" si="62"/>
        <v>144840.50416666668</v>
      </c>
      <c r="G147" s="41" t="str">
        <f t="shared" si="64"/>
        <v>VÁLIDO</v>
      </c>
      <c r="H147" s="41">
        <f t="shared" si="60"/>
        <v>73000</v>
      </c>
      <c r="I147" s="41">
        <f>IF(H147="-","-",AVERAGE(H$140:H146,H148:H$153))</f>
        <v>72079.875</v>
      </c>
      <c r="J147" s="40">
        <f>IF(I147="-","-",I147*75%)</f>
        <v>54059.90625</v>
      </c>
      <c r="K147" s="41" t="str">
        <f t="shared" si="61"/>
        <v>VÁLIDO</v>
      </c>
      <c r="L147" s="111"/>
      <c r="M147" s="106"/>
      <c r="N147" s="107"/>
      <c r="O147" s="109"/>
      <c r="P147" s="106"/>
    </row>
    <row r="148" spans="1:16" ht="22.5" x14ac:dyDescent="0.2">
      <c r="A148" s="99"/>
      <c r="B148" s="33" t="s">
        <v>33</v>
      </c>
      <c r="C148" s="33">
        <v>189</v>
      </c>
      <c r="D148" s="42">
        <v>62336</v>
      </c>
      <c r="E148" s="41">
        <f>IF(D148="-","-",AVERAGE(D$140:D147,D149:D$153))</f>
        <v>117649.73666666668</v>
      </c>
      <c r="F148" s="41">
        <f t="shared" si="62"/>
        <v>147062.17083333334</v>
      </c>
      <c r="G148" s="41" t="str">
        <f t="shared" si="64"/>
        <v>VÁLIDO</v>
      </c>
      <c r="H148" s="41">
        <f t="shared" si="60"/>
        <v>62336</v>
      </c>
      <c r="I148" s="41">
        <f>IF(H148="-","-",AVERAGE(H$140:H147,H149:H$153))</f>
        <v>74745.875</v>
      </c>
      <c r="J148" s="40">
        <f t="shared" ref="J148:J153" si="65">IF(I148="-","-",I148*75%)</f>
        <v>56059.40625</v>
      </c>
      <c r="K148" s="41" t="str">
        <f t="shared" si="61"/>
        <v>VÁLIDO</v>
      </c>
      <c r="L148" s="111"/>
      <c r="M148" s="106"/>
      <c r="N148" s="107"/>
      <c r="O148" s="109"/>
      <c r="P148" s="106"/>
    </row>
    <row r="149" spans="1:16" ht="22.5" x14ac:dyDescent="0.2">
      <c r="A149" s="99"/>
      <c r="B149" s="33" t="s">
        <v>35</v>
      </c>
      <c r="C149" s="33">
        <v>200</v>
      </c>
      <c r="D149" s="42">
        <v>83280</v>
      </c>
      <c r="E149" s="41">
        <f>IF(D149="-","-",AVERAGE(D$140:D148,D150:D$153))</f>
        <v>114159.07</v>
      </c>
      <c r="F149" s="41">
        <f t="shared" si="62"/>
        <v>142698.83750000002</v>
      </c>
      <c r="G149" s="41" t="str">
        <f t="shared" si="64"/>
        <v>VÁLIDO</v>
      </c>
      <c r="H149" s="41">
        <f t="shared" si="60"/>
        <v>83280</v>
      </c>
      <c r="I149" s="41">
        <f>IF(H149="-","-",AVERAGE(H$140:H148,H150:H$153))</f>
        <v>69509.875</v>
      </c>
      <c r="J149" s="40">
        <f t="shared" si="65"/>
        <v>52132.40625</v>
      </c>
      <c r="K149" s="41" t="str">
        <f t="shared" si="61"/>
        <v>VÁLIDO</v>
      </c>
      <c r="L149" s="111"/>
      <c r="M149" s="106"/>
      <c r="N149" s="107"/>
      <c r="O149" s="109"/>
      <c r="P149" s="106"/>
    </row>
    <row r="150" spans="1:16" ht="22.5" x14ac:dyDescent="0.2">
      <c r="A150" s="99"/>
      <c r="B150" s="33" t="s">
        <v>19</v>
      </c>
      <c r="C150" s="33"/>
      <c r="D150" s="42" t="s">
        <v>18</v>
      </c>
      <c r="E150" s="41" t="str">
        <f>IF(D150="-","-",AVERAGE(D$140:D149,D151:D$153))</f>
        <v>-</v>
      </c>
      <c r="F150" s="41" t="str">
        <f t="shared" si="62"/>
        <v>-</v>
      </c>
      <c r="G150" s="41" t="str">
        <f t="shared" si="64"/>
        <v>-</v>
      </c>
      <c r="H150" s="41" t="str">
        <f t="shared" si="60"/>
        <v>-</v>
      </c>
      <c r="I150" s="41" t="str">
        <f>IF(H150="-","-",AVERAGE(H$140:H149,H151:H$153))</f>
        <v>-</v>
      </c>
      <c r="J150" s="40" t="str">
        <f t="shared" si="65"/>
        <v>-</v>
      </c>
      <c r="K150" s="41" t="str">
        <f t="shared" si="61"/>
        <v>-</v>
      </c>
      <c r="L150" s="111"/>
      <c r="M150" s="106"/>
      <c r="N150" s="107"/>
      <c r="O150" s="109"/>
      <c r="P150" s="106"/>
    </row>
    <row r="151" spans="1:16" ht="22.5" x14ac:dyDescent="0.2">
      <c r="A151" s="99"/>
      <c r="B151" s="33" t="s">
        <v>19</v>
      </c>
      <c r="C151" s="33"/>
      <c r="D151" s="42" t="s">
        <v>18</v>
      </c>
      <c r="E151" s="41" t="str">
        <f>IF(D151="-","-",AVERAGE(D$140:D150,D152:D$153))</f>
        <v>-</v>
      </c>
      <c r="F151" s="41" t="str">
        <f t="shared" si="62"/>
        <v>-</v>
      </c>
      <c r="G151" s="41" t="str">
        <f t="shared" si="64"/>
        <v>-</v>
      </c>
      <c r="H151" s="41" t="str">
        <f t="shared" si="60"/>
        <v>-</v>
      </c>
      <c r="I151" s="41" t="str">
        <f>IF(H151="-","-",AVERAGE(H$140:H150,H152:H$153))</f>
        <v>-</v>
      </c>
      <c r="J151" s="40" t="str">
        <f t="shared" si="65"/>
        <v>-</v>
      </c>
      <c r="K151" s="41" t="str">
        <f t="shared" si="61"/>
        <v>-</v>
      </c>
      <c r="L151" s="111"/>
      <c r="M151" s="106"/>
      <c r="N151" s="107"/>
      <c r="O151" s="109"/>
      <c r="P151" s="106"/>
    </row>
    <row r="152" spans="1:16" ht="22.5" x14ac:dyDescent="0.2">
      <c r="A152" s="99"/>
      <c r="B152" s="33" t="s">
        <v>19</v>
      </c>
      <c r="C152" s="33"/>
      <c r="D152" s="42" t="s">
        <v>18</v>
      </c>
      <c r="E152" s="41" t="str">
        <f>IF(D152="-","-",AVERAGE(D$140:D151,D153:D$153))</f>
        <v>-</v>
      </c>
      <c r="F152" s="41" t="str">
        <f t="shared" si="62"/>
        <v>-</v>
      </c>
      <c r="G152" s="41" t="str">
        <f t="shared" si="64"/>
        <v>-</v>
      </c>
      <c r="H152" s="41" t="str">
        <f t="shared" si="60"/>
        <v>-</v>
      </c>
      <c r="I152" s="41" t="str">
        <f>IF(H152="-","-",AVERAGE(H$140:H151,H153:H$153))</f>
        <v>-</v>
      </c>
      <c r="J152" s="40" t="str">
        <f t="shared" si="65"/>
        <v>-</v>
      </c>
      <c r="K152" s="41" t="str">
        <f t="shared" si="61"/>
        <v>-</v>
      </c>
      <c r="L152" s="111"/>
      <c r="M152" s="106"/>
      <c r="N152" s="107"/>
      <c r="O152" s="109"/>
      <c r="P152" s="106"/>
    </row>
    <row r="153" spans="1:16" ht="22.5" x14ac:dyDescent="0.2">
      <c r="A153" s="99"/>
      <c r="B153" s="33" t="s">
        <v>19</v>
      </c>
      <c r="C153" s="33"/>
      <c r="D153" s="42" t="s">
        <v>18</v>
      </c>
      <c r="E153" s="41" t="str">
        <f>IF(D153="-","-",AVERAGE(D$140:D152,D$153:D154))</f>
        <v>-</v>
      </c>
      <c r="F153" s="41" t="str">
        <f t="shared" si="62"/>
        <v>-</v>
      </c>
      <c r="G153" s="41" t="str">
        <f t="shared" si="64"/>
        <v>-</v>
      </c>
      <c r="H153" s="41" t="str">
        <f t="shared" si="60"/>
        <v>-</v>
      </c>
      <c r="I153" s="41" t="str">
        <f>IF(H153="-","-",AVERAGE(H$140:H152,H$153:H154))</f>
        <v>-</v>
      </c>
      <c r="J153" s="40" t="str">
        <f t="shared" si="65"/>
        <v>-</v>
      </c>
      <c r="K153" s="41" t="str">
        <f t="shared" si="61"/>
        <v>-</v>
      </c>
      <c r="L153" s="111"/>
      <c r="M153" s="106"/>
      <c r="N153" s="107"/>
      <c r="O153" s="110"/>
      <c r="P153" s="106"/>
    </row>
    <row r="158" spans="1:16" x14ac:dyDescent="0.2">
      <c r="A158" s="49" t="s">
        <v>0</v>
      </c>
      <c r="B158" s="49" t="s">
        <v>1</v>
      </c>
      <c r="C158" s="73"/>
      <c r="D158" s="49" t="s">
        <v>2</v>
      </c>
      <c r="E158" s="112" t="s">
        <v>3</v>
      </c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</row>
    <row r="159" spans="1:16" x14ac:dyDescent="0.2">
      <c r="A159" s="26">
        <v>2</v>
      </c>
      <c r="B159" s="26">
        <v>12</v>
      </c>
      <c r="C159" s="26"/>
      <c r="D159" s="27" t="s">
        <v>28</v>
      </c>
      <c r="E159" s="113" t="s">
        <v>25</v>
      </c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</row>
    <row r="160" spans="1:16" ht="22.5" x14ac:dyDescent="0.2">
      <c r="A160" s="28" t="s">
        <v>4</v>
      </c>
      <c r="B160" s="28" t="s">
        <v>5</v>
      </c>
      <c r="C160" s="28"/>
      <c r="D160" s="28" t="s">
        <v>6</v>
      </c>
      <c r="E160" s="29" t="s">
        <v>7</v>
      </c>
      <c r="F160" s="30">
        <v>0.25</v>
      </c>
      <c r="G160" s="28" t="s">
        <v>8</v>
      </c>
      <c r="H160" s="28" t="s">
        <v>6</v>
      </c>
      <c r="I160" s="29" t="s">
        <v>7</v>
      </c>
      <c r="J160" s="31">
        <v>0.75</v>
      </c>
      <c r="K160" s="28" t="s">
        <v>8</v>
      </c>
      <c r="L160" s="7" t="s">
        <v>17</v>
      </c>
      <c r="M160" s="32" t="s">
        <v>13</v>
      </c>
      <c r="N160" s="32" t="s">
        <v>14</v>
      </c>
      <c r="O160" s="6" t="s">
        <v>16</v>
      </c>
      <c r="P160" s="28" t="s">
        <v>9</v>
      </c>
    </row>
    <row r="161" spans="1:16" x14ac:dyDescent="0.2">
      <c r="A161" s="48" t="s">
        <v>10</v>
      </c>
      <c r="B161" s="33" t="s">
        <v>18</v>
      </c>
      <c r="C161" s="33"/>
      <c r="D161" s="42" t="s">
        <v>18</v>
      </c>
      <c r="E161" s="41" t="str">
        <f>IF(D161="-","-",AVERAGE(D$162:D$174))</f>
        <v>-</v>
      </c>
      <c r="F161" s="41" t="str">
        <f>IF(D161="-","-",(E161*25%)+E161)</f>
        <v>-</v>
      </c>
      <c r="G161" s="41" t="str">
        <f t="shared" ref="G161:G165" si="66">IF(F161="-","-",IF(D161&gt;F161,"EXCESSIVAMENTE ELEVADO","VÁLIDO"))</f>
        <v>-</v>
      </c>
      <c r="H161" s="41" t="str">
        <f t="shared" ref="H161:H174" si="67">IF(G161="EXCESSIVAMENTE ELEVADO","-",D161)</f>
        <v>-</v>
      </c>
      <c r="I161" s="41" t="str">
        <f>IF(H161="-","-",AVERAGE(H$162:H$174))</f>
        <v>-</v>
      </c>
      <c r="J161" s="40" t="str">
        <f>IF(I161="-","-",I161*75%)</f>
        <v>-</v>
      </c>
      <c r="K161" s="41" t="str">
        <f>IF(J161="-","-",IF(H161&lt;J161,"INEXEQUÍVEL","VÁLIDO"))</f>
        <v>-</v>
      </c>
      <c r="L161" s="111">
        <f>AVERAGEIF(K161:K174,"VÁLIDO",H161:H174)</f>
        <v>24552.273333333334</v>
      </c>
      <c r="M161" s="106" cm="1">
        <f t="array" ref="M161">MEDIAN(IF(K161:K174="VÁLIDO",H161:H174))</f>
        <v>26750</v>
      </c>
      <c r="N161" s="107" cm="1">
        <f t="array" ref="N161">MIN(IF(K161:K174="VÁLIDO",H161:H174))</f>
        <v>7900</v>
      </c>
      <c r="O161" s="108">
        <f>L161</f>
        <v>24552.273333333334</v>
      </c>
      <c r="P161" s="106">
        <f>B159*O161</f>
        <v>294627.28000000003</v>
      </c>
    </row>
    <row r="162" spans="1:16" ht="22.5" x14ac:dyDescent="0.2">
      <c r="A162" s="48" t="s">
        <v>11</v>
      </c>
      <c r="B162" s="33" t="s">
        <v>101</v>
      </c>
      <c r="C162" s="33" t="s">
        <v>110</v>
      </c>
      <c r="D162" s="42">
        <v>7900</v>
      </c>
      <c r="E162" s="41">
        <f>IF(D162="-","-",AVERAGE(D$161:D161,D163:D$174))</f>
        <v>31055.273333333334</v>
      </c>
      <c r="F162" s="41">
        <f>IF(D162="-","-",(E162*25%)+E162)</f>
        <v>38819.091666666667</v>
      </c>
      <c r="G162" s="41" t="str">
        <f t="shared" si="66"/>
        <v>VÁLIDO</v>
      </c>
      <c r="H162" s="41">
        <f t="shared" si="67"/>
        <v>7900</v>
      </c>
      <c r="I162" s="41">
        <f>IF(H162="-","-",AVERAGE(H$161:H161,H163:H$174))</f>
        <v>27882.728000000003</v>
      </c>
      <c r="J162" s="40">
        <f t="shared" ref="J162:J167" si="68">IF(I162="-","-",I162*75%)</f>
        <v>20912.046000000002</v>
      </c>
      <c r="K162" s="41" t="s">
        <v>40</v>
      </c>
      <c r="L162" s="111"/>
      <c r="M162" s="106"/>
      <c r="N162" s="107"/>
      <c r="O162" s="109"/>
      <c r="P162" s="106"/>
    </row>
    <row r="163" spans="1:16" ht="38.25" x14ac:dyDescent="0.2">
      <c r="A163" s="48" t="s">
        <v>11</v>
      </c>
      <c r="B163" s="33" t="s">
        <v>43</v>
      </c>
      <c r="C163" s="33">
        <v>314</v>
      </c>
      <c r="D163" s="42">
        <v>46918</v>
      </c>
      <c r="E163" s="41">
        <f>IF(D163="-","-",AVERAGE(D$161:D162,D164:D$174))</f>
        <v>24552.273333333334</v>
      </c>
      <c r="F163" s="41">
        <f t="shared" ref="F163:F174" si="69">IF(D163="-","-",(E163*25%)+E163)</f>
        <v>30690.341666666667</v>
      </c>
      <c r="G163" s="41" t="str">
        <f t="shared" si="66"/>
        <v>EXCESSIVAMENTE ELEVADO</v>
      </c>
      <c r="H163" s="41" t="str">
        <f t="shared" si="67"/>
        <v>-</v>
      </c>
      <c r="I163" s="41" t="str">
        <f>IF(H163="-","-",AVERAGE(H$161:H162,H164:H$174))</f>
        <v>-</v>
      </c>
      <c r="J163" s="40" t="str">
        <f t="shared" si="68"/>
        <v>-</v>
      </c>
      <c r="K163" s="41" t="str">
        <f t="shared" ref="K163:K174" si="70">IF(J163="-","-",IF(H163&lt;J163,"INEXEQUÍVEL","VÁLIDO"))</f>
        <v>-</v>
      </c>
      <c r="L163" s="111"/>
      <c r="M163" s="106"/>
      <c r="N163" s="107"/>
      <c r="O163" s="109"/>
      <c r="P163" s="106"/>
    </row>
    <row r="164" spans="1:16" x14ac:dyDescent="0.2">
      <c r="A164" s="48" t="s">
        <v>11</v>
      </c>
      <c r="B164" s="33" t="s">
        <v>18</v>
      </c>
      <c r="C164" s="33"/>
      <c r="D164" s="42" t="s">
        <v>18</v>
      </c>
      <c r="E164" s="41" t="str">
        <f>IF(D164="-","-",AVERAGE(D$161:D163,D165:D$174))</f>
        <v>-</v>
      </c>
      <c r="F164" s="41" t="str">
        <f t="shared" si="69"/>
        <v>-</v>
      </c>
      <c r="G164" s="41" t="str">
        <f t="shared" si="66"/>
        <v>-</v>
      </c>
      <c r="H164" s="41" t="str">
        <f t="shared" si="67"/>
        <v>-</v>
      </c>
      <c r="I164" s="41" t="str">
        <f>IF(H164="-","-",AVERAGE(H$161:H163,H165:H$174))</f>
        <v>-</v>
      </c>
      <c r="J164" s="40" t="str">
        <f t="shared" si="68"/>
        <v>-</v>
      </c>
      <c r="K164" s="41" t="str">
        <f t="shared" si="70"/>
        <v>-</v>
      </c>
      <c r="L164" s="111"/>
      <c r="M164" s="106"/>
      <c r="N164" s="107"/>
      <c r="O164" s="109"/>
      <c r="P164" s="106"/>
    </row>
    <row r="165" spans="1:16" x14ac:dyDescent="0.2">
      <c r="A165" s="37" t="s">
        <v>12</v>
      </c>
      <c r="B165" s="33" t="s">
        <v>18</v>
      </c>
      <c r="C165" s="33"/>
      <c r="D165" s="42" t="s">
        <v>18</v>
      </c>
      <c r="E165" s="41" t="str">
        <f>IF(D165="-","-",AVERAGE(D$161:D164,D166:D$174))</f>
        <v>-</v>
      </c>
      <c r="F165" s="41" t="str">
        <f t="shared" si="69"/>
        <v>-</v>
      </c>
      <c r="G165" s="41" t="str">
        <f t="shared" si="66"/>
        <v>-</v>
      </c>
      <c r="H165" s="41" t="str">
        <f t="shared" si="67"/>
        <v>-</v>
      </c>
      <c r="I165" s="41" t="str">
        <f>IF(H165="-","-",AVERAGE(H$161:H164,H166:H$174))</f>
        <v>-</v>
      </c>
      <c r="J165" s="40" t="str">
        <f t="shared" si="68"/>
        <v>-</v>
      </c>
      <c r="K165" s="41" t="str">
        <f t="shared" si="70"/>
        <v>-</v>
      </c>
      <c r="L165" s="111"/>
      <c r="M165" s="106"/>
      <c r="N165" s="107"/>
      <c r="O165" s="109"/>
      <c r="P165" s="106"/>
    </row>
    <row r="166" spans="1:16" ht="22.5" x14ac:dyDescent="0.2">
      <c r="A166" s="99" t="s">
        <v>15</v>
      </c>
      <c r="B166" s="33" t="s">
        <v>31</v>
      </c>
      <c r="C166" s="33">
        <v>171</v>
      </c>
      <c r="D166" s="42">
        <v>21856.639999999999</v>
      </c>
      <c r="E166" s="41">
        <f>IF(D166="-","-",AVERAGE(D$161:D165,D167:D$174))</f>
        <v>28729.166666666668</v>
      </c>
      <c r="F166" s="41">
        <f t="shared" si="69"/>
        <v>35911.458333333336</v>
      </c>
      <c r="G166" s="41" t="str">
        <f>IF(F166="-","-",IF(D166&gt;F166,"EXCESSIVAMENTE ELEVADO","VÁLIDO"))</f>
        <v>VÁLIDO</v>
      </c>
      <c r="H166" s="41">
        <f t="shared" si="67"/>
        <v>21856.639999999999</v>
      </c>
      <c r="I166" s="41">
        <f>IF(H166="-","-",AVERAGE(H$161:H165,H167:H$174))</f>
        <v>25091.4</v>
      </c>
      <c r="J166" s="40">
        <f t="shared" si="68"/>
        <v>18818.550000000003</v>
      </c>
      <c r="K166" s="41" t="str">
        <f t="shared" si="70"/>
        <v>VÁLIDO</v>
      </c>
      <c r="L166" s="111"/>
      <c r="M166" s="106"/>
      <c r="N166" s="107"/>
      <c r="O166" s="109"/>
      <c r="P166" s="106"/>
    </row>
    <row r="167" spans="1:16" ht="24.75" customHeight="1" x14ac:dyDescent="0.2">
      <c r="A167" s="99"/>
      <c r="B167" s="33" t="s">
        <v>32</v>
      </c>
      <c r="C167" s="33">
        <v>178</v>
      </c>
      <c r="D167" s="42">
        <v>28800</v>
      </c>
      <c r="E167" s="41">
        <f>IF(D167="-","-",AVERAGE(D$161:D166,D168:D$174))</f>
        <v>27571.940000000002</v>
      </c>
      <c r="F167" s="41">
        <f t="shared" si="69"/>
        <v>34464.925000000003</v>
      </c>
      <c r="G167" s="41" t="str">
        <f t="shared" ref="G167:G174" si="71">IF(F167="-","-",IF(D167&gt;F167,"EXCESSIVAMENTE ELEVADO","VÁLIDO"))</f>
        <v>VÁLIDO</v>
      </c>
      <c r="H167" s="41">
        <f t="shared" si="67"/>
        <v>28800</v>
      </c>
      <c r="I167" s="41">
        <f>IF(H167="-","-",AVERAGE(H$161:H166,H168:H$174))</f>
        <v>23702.727999999999</v>
      </c>
      <c r="J167" s="40">
        <f t="shared" si="68"/>
        <v>17777.045999999998</v>
      </c>
      <c r="K167" s="41" t="str">
        <f t="shared" si="70"/>
        <v>VÁLIDO</v>
      </c>
      <c r="L167" s="111"/>
      <c r="M167" s="106"/>
      <c r="N167" s="107"/>
      <c r="O167" s="109"/>
      <c r="P167" s="106"/>
    </row>
    <row r="168" spans="1:16" ht="24" customHeight="1" x14ac:dyDescent="0.2">
      <c r="A168" s="99"/>
      <c r="B168" s="33" t="s">
        <v>34</v>
      </c>
      <c r="C168" s="33">
        <v>185</v>
      </c>
      <c r="D168" s="42">
        <v>24700</v>
      </c>
      <c r="E168" s="41">
        <f>IF(D168="-","-",AVERAGE(D$161:D167,D169:D$174))</f>
        <v>28255.273333333334</v>
      </c>
      <c r="F168" s="41">
        <f t="shared" si="69"/>
        <v>35319.091666666667</v>
      </c>
      <c r="G168" s="41" t="str">
        <f t="shared" si="71"/>
        <v>VÁLIDO</v>
      </c>
      <c r="H168" s="41">
        <f t="shared" si="67"/>
        <v>24700</v>
      </c>
      <c r="I168" s="41">
        <f>IF(H168="-","-",AVERAGE(H$161:H167,H169:H$174))</f>
        <v>24522.727999999999</v>
      </c>
      <c r="J168" s="40">
        <f>IF(I168="-","-",I168*75%)</f>
        <v>18392.045999999998</v>
      </c>
      <c r="K168" s="41" t="str">
        <f t="shared" si="70"/>
        <v>VÁLIDO</v>
      </c>
      <c r="L168" s="111"/>
      <c r="M168" s="106"/>
      <c r="N168" s="107"/>
      <c r="O168" s="109"/>
      <c r="P168" s="106"/>
    </row>
    <row r="169" spans="1:16" ht="23.25" customHeight="1" x14ac:dyDescent="0.2">
      <c r="A169" s="99"/>
      <c r="B169" s="33" t="s">
        <v>33</v>
      </c>
      <c r="C169" s="33">
        <v>189</v>
      </c>
      <c r="D169" s="42">
        <v>31937</v>
      </c>
      <c r="E169" s="41">
        <f>IF(D169="-","-",AVERAGE(D$161:D168,D170:D$174))</f>
        <v>27049.10666666667</v>
      </c>
      <c r="F169" s="41">
        <f t="shared" si="69"/>
        <v>33811.383333333339</v>
      </c>
      <c r="G169" s="41" t="str">
        <f t="shared" si="71"/>
        <v>VÁLIDO</v>
      </c>
      <c r="H169" s="41">
        <f t="shared" si="67"/>
        <v>31937</v>
      </c>
      <c r="I169" s="41">
        <f>IF(H169="-","-",AVERAGE(H$161:H168,H170:H$174))</f>
        <v>23075.328000000001</v>
      </c>
      <c r="J169" s="40">
        <f t="shared" ref="J169:J174" si="72">IF(I169="-","-",I169*75%)</f>
        <v>17306.495999999999</v>
      </c>
      <c r="K169" s="41" t="str">
        <f t="shared" si="70"/>
        <v>VÁLIDO</v>
      </c>
      <c r="L169" s="111"/>
      <c r="M169" s="106"/>
      <c r="N169" s="107"/>
      <c r="O169" s="109"/>
      <c r="P169" s="106"/>
    </row>
    <row r="170" spans="1:16" ht="22.5" x14ac:dyDescent="0.2">
      <c r="A170" s="99"/>
      <c r="B170" s="33" t="s">
        <v>35</v>
      </c>
      <c r="C170" s="33">
        <v>201</v>
      </c>
      <c r="D170" s="42">
        <v>32120</v>
      </c>
      <c r="E170" s="41">
        <f>IF(D170="-","-",AVERAGE(D$161:D169,D171:D$174))</f>
        <v>27018.60666666667</v>
      </c>
      <c r="F170" s="41">
        <f t="shared" si="69"/>
        <v>33773.258333333339</v>
      </c>
      <c r="G170" s="41" t="str">
        <f t="shared" si="71"/>
        <v>VÁLIDO</v>
      </c>
      <c r="H170" s="41">
        <f t="shared" si="67"/>
        <v>32120</v>
      </c>
      <c r="I170" s="41">
        <f>IF(H170="-","-",AVERAGE(H$161:H169,H171:H$174))</f>
        <v>23038.727999999999</v>
      </c>
      <c r="J170" s="40">
        <f t="shared" si="72"/>
        <v>17279.045999999998</v>
      </c>
      <c r="K170" s="41" t="str">
        <f t="shared" si="70"/>
        <v>VÁLIDO</v>
      </c>
      <c r="L170" s="111"/>
      <c r="M170" s="106"/>
      <c r="N170" s="107"/>
      <c r="O170" s="109"/>
      <c r="P170" s="106"/>
    </row>
    <row r="171" spans="1:16" ht="22.5" x14ac:dyDescent="0.2">
      <c r="A171" s="99"/>
      <c r="B171" s="33" t="s">
        <v>19</v>
      </c>
      <c r="C171" s="33"/>
      <c r="D171" s="42" t="s">
        <v>18</v>
      </c>
      <c r="E171" s="41" t="str">
        <f>IF(D171="-","-",AVERAGE(D$161:D170,D172:D$174))</f>
        <v>-</v>
      </c>
      <c r="F171" s="41" t="str">
        <f t="shared" si="69"/>
        <v>-</v>
      </c>
      <c r="G171" s="41" t="str">
        <f t="shared" si="71"/>
        <v>-</v>
      </c>
      <c r="H171" s="41" t="str">
        <f t="shared" si="67"/>
        <v>-</v>
      </c>
      <c r="I171" s="41" t="str">
        <f>IF(H171="-","-",AVERAGE(H$161:H170,H172:H$174))</f>
        <v>-</v>
      </c>
      <c r="J171" s="40" t="str">
        <f t="shared" si="72"/>
        <v>-</v>
      </c>
      <c r="K171" s="41" t="str">
        <f t="shared" si="70"/>
        <v>-</v>
      </c>
      <c r="L171" s="111"/>
      <c r="M171" s="106"/>
      <c r="N171" s="107"/>
      <c r="O171" s="109"/>
      <c r="P171" s="106"/>
    </row>
    <row r="172" spans="1:16" ht="22.5" x14ac:dyDescent="0.2">
      <c r="A172" s="99"/>
      <c r="B172" s="33" t="s">
        <v>19</v>
      </c>
      <c r="C172" s="33"/>
      <c r="D172" s="42" t="s">
        <v>18</v>
      </c>
      <c r="E172" s="41" t="str">
        <f>IF(D172="-","-",AVERAGE(D$161:D171,D173:D$174))</f>
        <v>-</v>
      </c>
      <c r="F172" s="41" t="str">
        <f t="shared" si="69"/>
        <v>-</v>
      </c>
      <c r="G172" s="41" t="str">
        <f t="shared" si="71"/>
        <v>-</v>
      </c>
      <c r="H172" s="41" t="str">
        <f t="shared" si="67"/>
        <v>-</v>
      </c>
      <c r="I172" s="41" t="str">
        <f>IF(H172="-","-",AVERAGE(H$161:H171,H173:H$174))</f>
        <v>-</v>
      </c>
      <c r="J172" s="40" t="str">
        <f t="shared" si="72"/>
        <v>-</v>
      </c>
      <c r="K172" s="41" t="str">
        <f t="shared" si="70"/>
        <v>-</v>
      </c>
      <c r="L172" s="111"/>
      <c r="M172" s="106"/>
      <c r="N172" s="107"/>
      <c r="O172" s="109"/>
      <c r="P172" s="106"/>
    </row>
    <row r="173" spans="1:16" ht="22.5" x14ac:dyDescent="0.2">
      <c r="A173" s="99"/>
      <c r="B173" s="33" t="s">
        <v>19</v>
      </c>
      <c r="C173" s="33"/>
      <c r="D173" s="42" t="s">
        <v>18</v>
      </c>
      <c r="E173" s="41" t="str">
        <f>IF(D173="-","-",AVERAGE(D$161:D172,D174:D$174))</f>
        <v>-</v>
      </c>
      <c r="F173" s="41" t="str">
        <f t="shared" si="69"/>
        <v>-</v>
      </c>
      <c r="G173" s="41" t="str">
        <f t="shared" si="71"/>
        <v>-</v>
      </c>
      <c r="H173" s="41" t="str">
        <f t="shared" si="67"/>
        <v>-</v>
      </c>
      <c r="I173" s="41" t="str">
        <f>IF(H173="-","-",AVERAGE(H$161:H172,H174:H$174))</f>
        <v>-</v>
      </c>
      <c r="J173" s="40" t="str">
        <f t="shared" si="72"/>
        <v>-</v>
      </c>
      <c r="K173" s="41" t="str">
        <f t="shared" si="70"/>
        <v>-</v>
      </c>
      <c r="L173" s="111"/>
      <c r="M173" s="106"/>
      <c r="N173" s="107"/>
      <c r="O173" s="109"/>
      <c r="P173" s="106"/>
    </row>
    <row r="174" spans="1:16" ht="22.5" x14ac:dyDescent="0.2">
      <c r="A174" s="99"/>
      <c r="B174" s="33" t="s">
        <v>19</v>
      </c>
      <c r="C174" s="33"/>
      <c r="D174" s="42" t="s">
        <v>18</v>
      </c>
      <c r="E174" s="41" t="str">
        <f>IF(D174="-","-",AVERAGE(D$161:D173,D$174:D175))</f>
        <v>-</v>
      </c>
      <c r="F174" s="41" t="str">
        <f t="shared" si="69"/>
        <v>-</v>
      </c>
      <c r="G174" s="41" t="str">
        <f t="shared" si="71"/>
        <v>-</v>
      </c>
      <c r="H174" s="41" t="str">
        <f t="shared" si="67"/>
        <v>-</v>
      </c>
      <c r="I174" s="41" t="str">
        <f>IF(H174="-","-",AVERAGE(H$161:H173,H$174:H175))</f>
        <v>-</v>
      </c>
      <c r="J174" s="40" t="str">
        <f t="shared" si="72"/>
        <v>-</v>
      </c>
      <c r="K174" s="41" t="str">
        <f t="shared" si="70"/>
        <v>-</v>
      </c>
      <c r="L174" s="111"/>
      <c r="M174" s="106"/>
      <c r="N174" s="107"/>
      <c r="O174" s="110"/>
      <c r="P174" s="106"/>
    </row>
    <row r="179" spans="1:18" x14ac:dyDescent="0.2">
      <c r="A179" s="49" t="s">
        <v>0</v>
      </c>
      <c r="B179" s="49" t="s">
        <v>1</v>
      </c>
      <c r="C179" s="73"/>
      <c r="D179" s="49" t="s">
        <v>2</v>
      </c>
      <c r="E179" s="112" t="s">
        <v>3</v>
      </c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</row>
    <row r="180" spans="1:18" x14ac:dyDescent="0.2">
      <c r="A180" s="26">
        <v>3</v>
      </c>
      <c r="B180" s="26">
        <v>192</v>
      </c>
      <c r="C180" s="26"/>
      <c r="D180" s="27" t="s">
        <v>27</v>
      </c>
      <c r="E180" s="113" t="s">
        <v>29</v>
      </c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</row>
    <row r="181" spans="1:18" ht="22.5" x14ac:dyDescent="0.2">
      <c r="A181" s="28" t="s">
        <v>4</v>
      </c>
      <c r="B181" s="28" t="s">
        <v>5</v>
      </c>
      <c r="C181" s="28"/>
      <c r="D181" s="28" t="s">
        <v>6</v>
      </c>
      <c r="E181" s="29" t="s">
        <v>7</v>
      </c>
      <c r="F181" s="30">
        <v>0.25</v>
      </c>
      <c r="G181" s="28" t="s">
        <v>8</v>
      </c>
      <c r="H181" s="28" t="s">
        <v>6</v>
      </c>
      <c r="I181" s="29" t="s">
        <v>7</v>
      </c>
      <c r="J181" s="31">
        <v>0.75</v>
      </c>
      <c r="K181" s="28" t="s">
        <v>8</v>
      </c>
      <c r="L181" s="7" t="s">
        <v>17</v>
      </c>
      <c r="M181" s="32" t="s">
        <v>13</v>
      </c>
      <c r="N181" s="32" t="s">
        <v>14</v>
      </c>
      <c r="O181" s="6" t="s">
        <v>16</v>
      </c>
      <c r="P181" s="28" t="s">
        <v>9</v>
      </c>
    </row>
    <row r="182" spans="1:18" x14ac:dyDescent="0.2">
      <c r="A182" s="48" t="s">
        <v>10</v>
      </c>
      <c r="B182" s="33" t="s">
        <v>18</v>
      </c>
      <c r="C182" s="33"/>
      <c r="D182" s="42" t="s">
        <v>18</v>
      </c>
      <c r="E182" s="41" t="str">
        <f>IF(D182="-","-",AVERAGE(D$183:D$195))</f>
        <v>-</v>
      </c>
      <c r="F182" s="41" t="str">
        <f>IF(D182="-","-",(E182*25%)+E182)</f>
        <v>-</v>
      </c>
      <c r="G182" s="41" t="str">
        <f t="shared" ref="G182:G186" si="73">IF(F182="-","-",IF(D182&gt;F182,"EXCESSIVAMENTE ELEVADO","VÁLIDO"))</f>
        <v>-</v>
      </c>
      <c r="H182" s="41" t="str">
        <f t="shared" ref="H182:H195" si="74">IF(G182="EXCESSIVAMENTE ELEVADO","-",D182)</f>
        <v>-</v>
      </c>
      <c r="I182" s="41" t="str">
        <f>IF(H182="-","-",AVERAGE(H$183:H$195))</f>
        <v>-</v>
      </c>
      <c r="J182" s="40" t="str">
        <f>IF(I182="-","-",I182*75%)</f>
        <v>-</v>
      </c>
      <c r="K182" s="41" t="str">
        <f>IF(J182="-","-",IF(H182&lt;J182,"INEXEQUÍVEL","VÁLIDO"))</f>
        <v>-</v>
      </c>
      <c r="L182" s="111">
        <f>AVERAGEIF(K182:K195,"VÁLIDO",H182:H195)</f>
        <v>235.81666666666669</v>
      </c>
      <c r="M182" s="106" cm="1">
        <f t="array" ref="M182">MEDIAN(IF(K182:K195="VÁLIDO",H182:H195))</f>
        <v>244.5</v>
      </c>
      <c r="N182" s="107" cm="1">
        <f t="array" ref="N182">MIN(IF(K182:K195="VÁLIDO",H182:H195))</f>
        <v>176.4</v>
      </c>
      <c r="O182" s="108">
        <f>L182</f>
        <v>235.81666666666669</v>
      </c>
      <c r="P182" s="106">
        <f>B180*O182</f>
        <v>45276.800000000003</v>
      </c>
    </row>
    <row r="183" spans="1:18" x14ac:dyDescent="0.2">
      <c r="A183" s="48" t="s">
        <v>11</v>
      </c>
      <c r="B183" s="33" t="s">
        <v>18</v>
      </c>
      <c r="C183" s="33"/>
      <c r="D183" s="42" t="s">
        <v>18</v>
      </c>
      <c r="E183" s="41" t="str">
        <f>IF(D183="-","-",AVERAGE(D$182:D182,D184:D$195))</f>
        <v>-</v>
      </c>
      <c r="F183" s="41" t="str">
        <f>IF(D183="-","-",(E183*25%)+E183)</f>
        <v>-</v>
      </c>
      <c r="G183" s="41" t="str">
        <f t="shared" si="73"/>
        <v>-</v>
      </c>
      <c r="H183" s="41" t="str">
        <f t="shared" si="74"/>
        <v>-</v>
      </c>
      <c r="I183" s="41" t="str">
        <f>IF(H183="-","-",AVERAGE(H$182:H182,H184:H$195))</f>
        <v>-</v>
      </c>
      <c r="J183" s="40" t="str">
        <f t="shared" ref="J183:J188" si="75">IF(I183="-","-",I183*75%)</f>
        <v>-</v>
      </c>
      <c r="K183" s="41" t="str">
        <f t="shared" ref="K183:K195" si="76">IF(J183="-","-",IF(H183&lt;J183,"INEXEQUÍVEL","VÁLIDO"))</f>
        <v>-</v>
      </c>
      <c r="L183" s="111"/>
      <c r="M183" s="106"/>
      <c r="N183" s="107"/>
      <c r="O183" s="109"/>
      <c r="P183" s="106"/>
    </row>
    <row r="184" spans="1:18" ht="22.5" x14ac:dyDescent="0.2">
      <c r="A184" s="48" t="s">
        <v>11</v>
      </c>
      <c r="B184" s="33" t="s">
        <v>43</v>
      </c>
      <c r="C184" s="33">
        <v>314</v>
      </c>
      <c r="D184" s="42">
        <v>176.4</v>
      </c>
      <c r="E184" s="41">
        <f>IF(D184="-","-",AVERAGE(D$182:D183,D185:D$195))</f>
        <v>247.7</v>
      </c>
      <c r="F184" s="41">
        <f t="shared" ref="F184:F195" si="77">IF(D184="-","-",(E184*25%)+E184)</f>
        <v>309.625</v>
      </c>
      <c r="G184" s="41" t="str">
        <f t="shared" si="73"/>
        <v>VÁLIDO</v>
      </c>
      <c r="H184" s="41">
        <f t="shared" si="74"/>
        <v>176.4</v>
      </c>
      <c r="I184" s="41">
        <f>IF(H184="-","-",AVERAGE(H$182:H183,H185:H$195))</f>
        <v>247.7</v>
      </c>
      <c r="J184" s="40">
        <f t="shared" si="75"/>
        <v>185.77499999999998</v>
      </c>
      <c r="K184" s="41" t="s">
        <v>40</v>
      </c>
      <c r="L184" s="111"/>
      <c r="M184" s="106"/>
      <c r="N184" s="107"/>
      <c r="O184" s="109"/>
      <c r="P184" s="106"/>
    </row>
    <row r="185" spans="1:18" x14ac:dyDescent="0.2">
      <c r="A185" s="48" t="s">
        <v>11</v>
      </c>
      <c r="B185" s="33" t="s">
        <v>18</v>
      </c>
      <c r="C185" s="33"/>
      <c r="D185" s="42" t="s">
        <v>18</v>
      </c>
      <c r="E185" s="41" t="str">
        <f>IF(D185="-","-",AVERAGE(D$182:D184,D186:D$195))</f>
        <v>-</v>
      </c>
      <c r="F185" s="41" t="str">
        <f t="shared" si="77"/>
        <v>-</v>
      </c>
      <c r="G185" s="41" t="str">
        <f t="shared" si="73"/>
        <v>-</v>
      </c>
      <c r="H185" s="41" t="str">
        <f t="shared" si="74"/>
        <v>-</v>
      </c>
      <c r="I185" s="41" t="str">
        <f>IF(H185="-","-",AVERAGE(H$182:H184,H186:H$195))</f>
        <v>-</v>
      </c>
      <c r="J185" s="40" t="str">
        <f t="shared" si="75"/>
        <v>-</v>
      </c>
      <c r="K185" s="41" t="str">
        <f t="shared" si="76"/>
        <v>-</v>
      </c>
      <c r="L185" s="111"/>
      <c r="M185" s="106"/>
      <c r="N185" s="107"/>
      <c r="O185" s="109"/>
      <c r="P185" s="106"/>
    </row>
    <row r="186" spans="1:18" x14ac:dyDescent="0.2">
      <c r="A186" s="37" t="s">
        <v>12</v>
      </c>
      <c r="B186" s="33" t="s">
        <v>18</v>
      </c>
      <c r="C186" s="33"/>
      <c r="D186" s="42" t="s">
        <v>18</v>
      </c>
      <c r="E186" s="41" t="str">
        <f>IF(D186="-","-",AVERAGE(D$182:D185,D187:D$195))</f>
        <v>-</v>
      </c>
      <c r="F186" s="41" t="str">
        <f t="shared" si="77"/>
        <v>-</v>
      </c>
      <c r="G186" s="41" t="str">
        <f t="shared" si="73"/>
        <v>-</v>
      </c>
      <c r="H186" s="41" t="str">
        <f t="shared" si="74"/>
        <v>-</v>
      </c>
      <c r="I186" s="41" t="str">
        <f>IF(H186="-","-",AVERAGE(H$182:H185,H187:H$195))</f>
        <v>-</v>
      </c>
      <c r="J186" s="40" t="str">
        <f t="shared" si="75"/>
        <v>-</v>
      </c>
      <c r="K186" s="41" t="str">
        <f t="shared" si="76"/>
        <v>-</v>
      </c>
      <c r="L186" s="111"/>
      <c r="M186" s="106"/>
      <c r="N186" s="107"/>
      <c r="O186" s="109"/>
      <c r="P186" s="106"/>
    </row>
    <row r="187" spans="1:18" ht="22.5" x14ac:dyDescent="0.2">
      <c r="A187" s="99" t="s">
        <v>15</v>
      </c>
      <c r="B187" s="33" t="s">
        <v>31</v>
      </c>
      <c r="C187" s="33">
        <v>171</v>
      </c>
      <c r="D187" s="42">
        <v>231.5</v>
      </c>
      <c r="E187" s="41">
        <f>IF(D187="-","-",AVERAGE(D$182:D186,D188:D$195))</f>
        <v>236.68</v>
      </c>
      <c r="F187" s="41">
        <f t="shared" si="77"/>
        <v>295.85000000000002</v>
      </c>
      <c r="G187" s="41" t="str">
        <f>IF(F187="-","-",IF(D187&gt;F187,"EXCESSIVAMENTE ELEVADO","VÁLIDO"))</f>
        <v>VÁLIDO</v>
      </c>
      <c r="H187" s="41">
        <f t="shared" si="74"/>
        <v>231.5</v>
      </c>
      <c r="I187" s="41">
        <f>IF(H187="-","-",AVERAGE(H$182:H186,H188:H$195))</f>
        <v>236.68</v>
      </c>
      <c r="J187" s="40">
        <f t="shared" si="75"/>
        <v>177.51</v>
      </c>
      <c r="K187" s="41" t="str">
        <f t="shared" si="76"/>
        <v>VÁLIDO</v>
      </c>
      <c r="L187" s="111"/>
      <c r="M187" s="106"/>
      <c r="N187" s="107"/>
      <c r="O187" s="109"/>
      <c r="P187" s="106"/>
      <c r="R187" s="72">
        <f>P140</f>
        <v>72263.899999999994</v>
      </c>
    </row>
    <row r="188" spans="1:18" ht="24" customHeight="1" x14ac:dyDescent="0.2">
      <c r="A188" s="99"/>
      <c r="B188" s="33" t="s">
        <v>32</v>
      </c>
      <c r="C188" s="33">
        <v>179</v>
      </c>
      <c r="D188" s="42">
        <v>245</v>
      </c>
      <c r="E188" s="41">
        <f>IF(D188="-","-",AVERAGE(D$182:D187,D189:D$195))</f>
        <v>233.98000000000002</v>
      </c>
      <c r="F188" s="41">
        <f t="shared" si="77"/>
        <v>292.47500000000002</v>
      </c>
      <c r="G188" s="41" t="str">
        <f t="shared" ref="G188:G195" si="78">IF(F188="-","-",IF(D188&gt;F188,"EXCESSIVAMENTE ELEVADO","VÁLIDO"))</f>
        <v>VÁLIDO</v>
      </c>
      <c r="H188" s="41">
        <f t="shared" si="74"/>
        <v>245</v>
      </c>
      <c r="I188" s="41">
        <f>IF(H188="-","-",AVERAGE(H$182:H187,H189:H$195))</f>
        <v>233.98000000000002</v>
      </c>
      <c r="J188" s="40">
        <f t="shared" si="75"/>
        <v>175.48500000000001</v>
      </c>
      <c r="K188" s="41" t="str">
        <f t="shared" si="76"/>
        <v>VÁLIDO</v>
      </c>
      <c r="L188" s="111"/>
      <c r="M188" s="106"/>
      <c r="N188" s="107"/>
      <c r="O188" s="109"/>
      <c r="P188" s="106"/>
      <c r="R188" s="98">
        <f>P161/12*7</f>
        <v>171865.91333333333</v>
      </c>
    </row>
    <row r="189" spans="1:18" ht="22.5" x14ac:dyDescent="0.2">
      <c r="A189" s="99"/>
      <c r="B189" s="33" t="s">
        <v>34</v>
      </c>
      <c r="C189" s="33">
        <v>185</v>
      </c>
      <c r="D189" s="42">
        <v>250</v>
      </c>
      <c r="E189" s="41">
        <f>IF(D189="-","-",AVERAGE(D$182:D188,D190:D$195))</f>
        <v>232.98000000000002</v>
      </c>
      <c r="F189" s="41">
        <f t="shared" si="77"/>
        <v>291.22500000000002</v>
      </c>
      <c r="G189" s="41" t="str">
        <f t="shared" si="78"/>
        <v>VÁLIDO</v>
      </c>
      <c r="H189" s="41">
        <f t="shared" si="74"/>
        <v>250</v>
      </c>
      <c r="I189" s="41">
        <f>IF(H189="-","-",AVERAGE(H$182:H188,H190:H$195))</f>
        <v>232.98000000000002</v>
      </c>
      <c r="J189" s="40">
        <f>IF(I189="-","-",I189*75%)</f>
        <v>174.73500000000001</v>
      </c>
      <c r="K189" s="41" t="str">
        <f t="shared" si="76"/>
        <v>VÁLIDO</v>
      </c>
      <c r="L189" s="111"/>
      <c r="M189" s="106"/>
      <c r="N189" s="107"/>
      <c r="O189" s="109"/>
      <c r="P189" s="106"/>
      <c r="R189" s="98">
        <f>P182/12*7</f>
        <v>26411.466666666671</v>
      </c>
    </row>
    <row r="190" spans="1:18" ht="22.5" x14ac:dyDescent="0.2">
      <c r="A190" s="99"/>
      <c r="B190" s="33" t="s">
        <v>33</v>
      </c>
      <c r="C190" s="33">
        <v>189</v>
      </c>
      <c r="D190" s="42">
        <v>244</v>
      </c>
      <c r="E190" s="41">
        <f>IF(D190="-","-",AVERAGE(D$182:D189,D191:D$195))</f>
        <v>234.18</v>
      </c>
      <c r="F190" s="41">
        <f t="shared" si="77"/>
        <v>292.72500000000002</v>
      </c>
      <c r="G190" s="41" t="str">
        <f t="shared" si="78"/>
        <v>VÁLIDO</v>
      </c>
      <c r="H190" s="41">
        <f t="shared" si="74"/>
        <v>244</v>
      </c>
      <c r="I190" s="41">
        <f>IF(H190="-","-",AVERAGE(H$182:H189,H191:H$195))</f>
        <v>234.18</v>
      </c>
      <c r="J190" s="40">
        <f t="shared" ref="J190:J195" si="79">IF(I190="-","-",I190*75%)</f>
        <v>175.63499999999999</v>
      </c>
      <c r="K190" s="41" t="str">
        <f t="shared" si="76"/>
        <v>VÁLIDO</v>
      </c>
      <c r="L190" s="111"/>
      <c r="M190" s="106"/>
      <c r="N190" s="107"/>
      <c r="O190" s="109"/>
      <c r="P190" s="106"/>
      <c r="R190" s="72">
        <f>SUM(R187:R189)</f>
        <v>270541.27999999997</v>
      </c>
    </row>
    <row r="191" spans="1:18" ht="22.5" x14ac:dyDescent="0.2">
      <c r="A191" s="99"/>
      <c r="B191" s="33" t="s">
        <v>35</v>
      </c>
      <c r="C191" s="33">
        <v>201</v>
      </c>
      <c r="D191" s="42">
        <v>268</v>
      </c>
      <c r="E191" s="41">
        <f>IF(D191="-","-",AVERAGE(D$182:D190,D192:D$195))</f>
        <v>229.38000000000002</v>
      </c>
      <c r="F191" s="41">
        <f t="shared" si="77"/>
        <v>286.72500000000002</v>
      </c>
      <c r="G191" s="41" t="str">
        <f t="shared" si="78"/>
        <v>VÁLIDO</v>
      </c>
      <c r="H191" s="41">
        <f t="shared" si="74"/>
        <v>268</v>
      </c>
      <c r="I191" s="41">
        <f>IF(H191="-","-",AVERAGE(H$182:H190,H192:H$195))</f>
        <v>229.38000000000002</v>
      </c>
      <c r="J191" s="40">
        <f t="shared" si="79"/>
        <v>172.03500000000003</v>
      </c>
      <c r="K191" s="41" t="str">
        <f t="shared" si="76"/>
        <v>VÁLIDO</v>
      </c>
      <c r="L191" s="111"/>
      <c r="M191" s="106"/>
      <c r="N191" s="107"/>
      <c r="O191" s="109"/>
      <c r="P191" s="106"/>
    </row>
    <row r="192" spans="1:18" ht="22.5" x14ac:dyDescent="0.2">
      <c r="A192" s="99"/>
      <c r="B192" s="33" t="s">
        <v>19</v>
      </c>
      <c r="C192" s="33"/>
      <c r="D192" s="42" t="s">
        <v>18</v>
      </c>
      <c r="E192" s="41" t="str">
        <f>IF(D192="-","-",AVERAGE(D$182:D191,D193:D$195))</f>
        <v>-</v>
      </c>
      <c r="F192" s="41" t="str">
        <f t="shared" si="77"/>
        <v>-</v>
      </c>
      <c r="G192" s="41" t="str">
        <f t="shared" si="78"/>
        <v>-</v>
      </c>
      <c r="H192" s="41" t="str">
        <f t="shared" si="74"/>
        <v>-</v>
      </c>
      <c r="I192" s="41" t="str">
        <f>IF(H192="-","-",AVERAGE(H$182:H191,H193:H$195))</f>
        <v>-</v>
      </c>
      <c r="J192" s="40" t="str">
        <f t="shared" si="79"/>
        <v>-</v>
      </c>
      <c r="K192" s="41" t="str">
        <f t="shared" si="76"/>
        <v>-</v>
      </c>
      <c r="L192" s="111"/>
      <c r="M192" s="106"/>
      <c r="N192" s="107"/>
      <c r="O192" s="109"/>
      <c r="P192" s="106"/>
    </row>
    <row r="193" spans="1:16" ht="22.5" x14ac:dyDescent="0.2">
      <c r="A193" s="99"/>
      <c r="B193" s="33" t="s">
        <v>19</v>
      </c>
      <c r="C193" s="33"/>
      <c r="D193" s="42" t="s">
        <v>18</v>
      </c>
      <c r="E193" s="41" t="str">
        <f>IF(D193="-","-",AVERAGE(D$182:D192,D194:D$195))</f>
        <v>-</v>
      </c>
      <c r="F193" s="41" t="str">
        <f t="shared" si="77"/>
        <v>-</v>
      </c>
      <c r="G193" s="41" t="str">
        <f t="shared" si="78"/>
        <v>-</v>
      </c>
      <c r="H193" s="41" t="str">
        <f t="shared" si="74"/>
        <v>-</v>
      </c>
      <c r="I193" s="41" t="str">
        <f>IF(H193="-","-",AVERAGE(H$182:H192,H194:H$195))</f>
        <v>-</v>
      </c>
      <c r="J193" s="40" t="str">
        <f t="shared" si="79"/>
        <v>-</v>
      </c>
      <c r="K193" s="41" t="str">
        <f t="shared" si="76"/>
        <v>-</v>
      </c>
      <c r="L193" s="111"/>
      <c r="M193" s="106"/>
      <c r="N193" s="107"/>
      <c r="O193" s="109"/>
      <c r="P193" s="106"/>
    </row>
    <row r="194" spans="1:16" ht="22.5" x14ac:dyDescent="0.2">
      <c r="A194" s="99"/>
      <c r="B194" s="33" t="s">
        <v>19</v>
      </c>
      <c r="C194" s="33"/>
      <c r="D194" s="42" t="s">
        <v>18</v>
      </c>
      <c r="E194" s="41" t="str">
        <f>IF(D194="-","-",AVERAGE(D$182:D193,D195:D$195))</f>
        <v>-</v>
      </c>
      <c r="F194" s="41" t="str">
        <f t="shared" si="77"/>
        <v>-</v>
      </c>
      <c r="G194" s="41" t="str">
        <f t="shared" si="78"/>
        <v>-</v>
      </c>
      <c r="H194" s="41" t="str">
        <f t="shared" si="74"/>
        <v>-</v>
      </c>
      <c r="I194" s="41" t="str">
        <f>IF(H194="-","-",AVERAGE(H$182:H193,H195:H$195))</f>
        <v>-</v>
      </c>
      <c r="J194" s="40" t="str">
        <f t="shared" si="79"/>
        <v>-</v>
      </c>
      <c r="K194" s="41" t="str">
        <f t="shared" si="76"/>
        <v>-</v>
      </c>
      <c r="L194" s="111"/>
      <c r="M194" s="106"/>
      <c r="N194" s="107"/>
      <c r="O194" s="109"/>
      <c r="P194" s="106"/>
    </row>
    <row r="195" spans="1:16" ht="22.5" x14ac:dyDescent="0.2">
      <c r="A195" s="99"/>
      <c r="B195" s="33" t="s">
        <v>19</v>
      </c>
      <c r="C195" s="33"/>
      <c r="D195" s="42" t="s">
        <v>18</v>
      </c>
      <c r="E195" s="41" t="str">
        <f>IF(D195="-","-",AVERAGE(D$182:D194,D$195:D196))</f>
        <v>-</v>
      </c>
      <c r="F195" s="41" t="str">
        <f t="shared" si="77"/>
        <v>-</v>
      </c>
      <c r="G195" s="41" t="str">
        <f t="shared" si="78"/>
        <v>-</v>
      </c>
      <c r="H195" s="41" t="str">
        <f t="shared" si="74"/>
        <v>-</v>
      </c>
      <c r="I195" s="41" t="str">
        <f>IF(H195="-","-",AVERAGE(H$182:H194,H$195:H196))</f>
        <v>-</v>
      </c>
      <c r="J195" s="40" t="str">
        <f t="shared" si="79"/>
        <v>-</v>
      </c>
      <c r="K195" s="41" t="str">
        <f t="shared" si="76"/>
        <v>-</v>
      </c>
      <c r="L195" s="111"/>
      <c r="M195" s="106"/>
      <c r="N195" s="107"/>
      <c r="O195" s="110"/>
      <c r="P195" s="106"/>
    </row>
    <row r="201" spans="1:16" ht="15.75" x14ac:dyDescent="0.2">
      <c r="A201" s="115" t="s">
        <v>99</v>
      </c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7"/>
    </row>
    <row r="202" spans="1:16" x14ac:dyDescent="0.2">
      <c r="A202" s="49" t="s">
        <v>0</v>
      </c>
      <c r="B202" s="49" t="s">
        <v>1</v>
      </c>
      <c r="C202" s="73"/>
      <c r="D202" s="49" t="s">
        <v>2</v>
      </c>
      <c r="E202" s="112" t="s">
        <v>3</v>
      </c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</row>
    <row r="203" spans="1:16" ht="24" customHeight="1" x14ac:dyDescent="0.2">
      <c r="A203" s="26">
        <v>1</v>
      </c>
      <c r="B203" s="26">
        <v>1</v>
      </c>
      <c r="C203" s="26"/>
      <c r="D203" s="27" t="s">
        <v>27</v>
      </c>
      <c r="E203" s="113" t="s">
        <v>24</v>
      </c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</row>
    <row r="204" spans="1:16" ht="22.5" x14ac:dyDescent="0.2">
      <c r="A204" s="28" t="s">
        <v>4</v>
      </c>
      <c r="B204" s="28" t="s">
        <v>5</v>
      </c>
      <c r="C204" s="28"/>
      <c r="D204" s="28" t="s">
        <v>6</v>
      </c>
      <c r="E204" s="29" t="s">
        <v>7</v>
      </c>
      <c r="F204" s="30">
        <v>0.25</v>
      </c>
      <c r="G204" s="28" t="s">
        <v>8</v>
      </c>
      <c r="H204" s="28" t="s">
        <v>6</v>
      </c>
      <c r="I204" s="29" t="s">
        <v>7</v>
      </c>
      <c r="J204" s="31">
        <v>0.75</v>
      </c>
      <c r="K204" s="28" t="s">
        <v>8</v>
      </c>
      <c r="L204" s="7" t="s">
        <v>17</v>
      </c>
      <c r="M204" s="32" t="s">
        <v>13</v>
      </c>
      <c r="N204" s="32" t="s">
        <v>14</v>
      </c>
      <c r="O204" s="6" t="s">
        <v>16</v>
      </c>
      <c r="P204" s="28" t="s">
        <v>9</v>
      </c>
    </row>
    <row r="205" spans="1:16" x14ac:dyDescent="0.2">
      <c r="A205" s="48" t="s">
        <v>10</v>
      </c>
      <c r="B205" s="33" t="s">
        <v>18</v>
      </c>
      <c r="C205" s="33"/>
      <c r="D205" s="42" t="s">
        <v>18</v>
      </c>
      <c r="E205" s="41" t="str">
        <f>IF(D205="-","-",AVERAGE(D$206:D$218))</f>
        <v>-</v>
      </c>
      <c r="F205" s="41" t="str">
        <f>IF(D205="-","-",(E205*25%)+E205)</f>
        <v>-</v>
      </c>
      <c r="G205" s="41" t="str">
        <f t="shared" ref="G205:G206" si="80">IF(F205="-","-",IF(D205&gt;F205,"EXCESSIVAMENTE ELEVADO","VÁLIDO"))</f>
        <v>-</v>
      </c>
      <c r="H205" s="41" t="str">
        <f t="shared" ref="H205:H206" si="81">IF(G205="EXCESSIVAMENTE ELEVADO","-",D205)</f>
        <v>-</v>
      </c>
      <c r="I205" s="41" t="str">
        <f>IF(H205="-","-",AVERAGE(H$206:H$218))</f>
        <v>-</v>
      </c>
      <c r="J205" s="40" t="str">
        <f>IF(I205="-","-",I205*75%)</f>
        <v>-</v>
      </c>
      <c r="K205" s="41" t="str">
        <f>IF(J205="-","-",IF(H205&lt;J205,"INEXEQUÍVEL","VÁLIDO"))</f>
        <v>-</v>
      </c>
      <c r="L205" s="111">
        <f>AVERAGEIF(K205:K218,"VÁLIDO",H205:H218)</f>
        <v>88114.75</v>
      </c>
      <c r="M205" s="106" cm="1">
        <f t="array" ref="M205">MEDIAN(IF(K205:K218="VÁLIDO",H205:H218))</f>
        <v>91829.5</v>
      </c>
      <c r="N205" s="107" cm="1">
        <f t="array" ref="N205">MIN(IF(K205:K218="VÁLIDO",H205:H218))</f>
        <v>66800</v>
      </c>
      <c r="O205" s="108">
        <f>L205</f>
        <v>88114.75</v>
      </c>
      <c r="P205" s="106">
        <f>B203*O205</f>
        <v>88114.75</v>
      </c>
    </row>
    <row r="206" spans="1:16" ht="38.25" x14ac:dyDescent="0.2">
      <c r="A206" s="48" t="s">
        <v>11</v>
      </c>
      <c r="B206" s="33" t="s">
        <v>101</v>
      </c>
      <c r="C206" s="33" t="s">
        <v>110</v>
      </c>
      <c r="D206" s="42">
        <v>154914.92000000001</v>
      </c>
      <c r="E206" s="41">
        <f>IF(D206="-","-",AVERAGE(D$205:D205,D207:D$218))</f>
        <v>111277.08333333333</v>
      </c>
      <c r="F206" s="41">
        <f>IF(D206="-","-",(E206*25%)+E206)</f>
        <v>139096.35416666666</v>
      </c>
      <c r="G206" s="41" t="str">
        <f t="shared" si="80"/>
        <v>EXCESSIVAMENTE ELEVADO</v>
      </c>
      <c r="H206" s="41" t="str">
        <f t="shared" si="81"/>
        <v>-</v>
      </c>
      <c r="I206" s="41" t="str">
        <f>IF(H206="-","-",AVERAGE(H$205:H205,H207:H$218))</f>
        <v>-</v>
      </c>
      <c r="J206" s="40" t="str">
        <f t="shared" ref="J206:J207" si="82">IF(I206="-","-",I206*75%)</f>
        <v>-</v>
      </c>
      <c r="K206" s="41" t="str">
        <f t="shared" ref="K206" si="83">IF(J206="-","-",IF(H206&lt;J206,"INEXEQUÍVEL","VÁLIDO"))</f>
        <v>-</v>
      </c>
      <c r="L206" s="111"/>
      <c r="M206" s="106"/>
      <c r="N206" s="107"/>
      <c r="O206" s="109"/>
      <c r="P206" s="106"/>
    </row>
    <row r="207" spans="1:16" ht="38.25" x14ac:dyDescent="0.2">
      <c r="A207" s="48" t="s">
        <v>11</v>
      </c>
      <c r="B207" s="33" t="s">
        <v>43</v>
      </c>
      <c r="C207" s="33">
        <v>314</v>
      </c>
      <c r="D207" s="42">
        <v>252000</v>
      </c>
      <c r="E207" s="41">
        <f>IF(D207="-","-",AVERAGE(D$205:D206,D208:D$218))</f>
        <v>95096.236666666679</v>
      </c>
      <c r="F207" s="41">
        <f t="shared" ref="F207" si="84">IF(D207="-","-",(E207*25%)+E207)</f>
        <v>118870.29583333335</v>
      </c>
      <c r="G207" s="41" t="str">
        <f>IF(F207="-","-",IF(D207&gt;F207,"EXCESSIVAMENTE ELEVADO","VÁLIDO"))</f>
        <v>EXCESSIVAMENTE ELEVADO</v>
      </c>
      <c r="H207" s="41" t="str">
        <f>IF(G207="EXCESSIVAMENTE ELEVADO","-",D207)</f>
        <v>-</v>
      </c>
      <c r="I207" s="41" t="str">
        <f>IF(H207="-","-",AVERAGE(H$205:H206,H208:H$218))</f>
        <v>-</v>
      </c>
      <c r="J207" s="40" t="str">
        <f t="shared" si="82"/>
        <v>-</v>
      </c>
      <c r="K207" s="41" t="str">
        <f>IF(J207="-","-",IF(H207&lt;J207,"INEXEQUÍVEL","VÁLIDO"))</f>
        <v>-</v>
      </c>
      <c r="L207" s="111"/>
      <c r="M207" s="106"/>
      <c r="N207" s="107"/>
      <c r="O207" s="109"/>
      <c r="P207" s="106"/>
    </row>
    <row r="208" spans="1:16" x14ac:dyDescent="0.2">
      <c r="A208" s="48" t="s">
        <v>11</v>
      </c>
      <c r="B208" s="33"/>
      <c r="C208" s="33"/>
      <c r="D208" s="42" t="s">
        <v>18</v>
      </c>
      <c r="E208" s="41" t="str">
        <f>IF(D208="-","-",AVERAGE(D$205:D207,D209:D$218))</f>
        <v>-</v>
      </c>
      <c r="F208" s="41" t="str">
        <f>IF(D208="-","-",(E208*25%)+E208)</f>
        <v>-</v>
      </c>
      <c r="G208" s="41" t="str">
        <f t="shared" ref="G208:G209" si="85">IF(F208="-","-",IF(D208&gt;F208,"EXCESSIVAMENTE ELEVADO","VÁLIDO"))</f>
        <v>-</v>
      </c>
      <c r="H208" s="41" t="str">
        <f t="shared" ref="H208:H218" si="86">IF(G208="EXCESSIVAMENTE ELEVADO","-",D208)</f>
        <v>-</v>
      </c>
      <c r="I208" s="41" t="str">
        <f>IF(H208="-","-",AVERAGE(H$205:H207,H209:H$218))</f>
        <v>-</v>
      </c>
      <c r="J208" s="40" t="str">
        <f>IF(I208="-","-",I208*75%)</f>
        <v>-</v>
      </c>
      <c r="K208" s="41" t="str">
        <f t="shared" ref="K208:K218" si="87">IF(J208="-","-",IF(H208&lt;J208,"INEXEQUÍVEL","VÁLIDO"))</f>
        <v>-</v>
      </c>
      <c r="L208" s="111"/>
      <c r="M208" s="106"/>
      <c r="N208" s="107"/>
      <c r="O208" s="109"/>
      <c r="P208" s="106"/>
    </row>
    <row r="209" spans="1:16" x14ac:dyDescent="0.2">
      <c r="A209" s="37" t="s">
        <v>12</v>
      </c>
      <c r="B209" s="33"/>
      <c r="C209" s="33"/>
      <c r="D209" s="42" t="s">
        <v>18</v>
      </c>
      <c r="E209" s="41" t="str">
        <f>IF(D209="-","-",AVERAGE(D$205:D208,D210:D$218))</f>
        <v>-</v>
      </c>
      <c r="F209" s="41" t="str">
        <f t="shared" ref="F209:F218" si="88">IF(D209="-","-",(E209*25%)+E209)</f>
        <v>-</v>
      </c>
      <c r="G209" s="41" t="str">
        <f t="shared" si="85"/>
        <v>-</v>
      </c>
      <c r="H209" s="41" t="str">
        <f t="shared" si="86"/>
        <v>-</v>
      </c>
      <c r="I209" s="41" t="str">
        <f>IF(H209="-","-",AVERAGE(H$205:H208,H210:H$218))</f>
        <v>-</v>
      </c>
      <c r="J209" s="40" t="str">
        <f t="shared" ref="J209:J211" si="89">IF(I209="-","-",I209*75%)</f>
        <v>-</v>
      </c>
      <c r="K209" s="41" t="str">
        <f t="shared" si="87"/>
        <v>-</v>
      </c>
      <c r="L209" s="111"/>
      <c r="M209" s="106"/>
      <c r="N209" s="107"/>
      <c r="O209" s="109"/>
      <c r="P209" s="106"/>
    </row>
    <row r="210" spans="1:16" ht="22.5" x14ac:dyDescent="0.2">
      <c r="A210" s="99" t="s">
        <v>15</v>
      </c>
      <c r="B210" s="33" t="s">
        <v>31</v>
      </c>
      <c r="C210" s="33">
        <v>171</v>
      </c>
      <c r="D210" s="42">
        <v>63203.5</v>
      </c>
      <c r="E210" s="41">
        <f>IF(D210="-","-",AVERAGE(D$205:D209,D211:D$218))</f>
        <v>126562.32</v>
      </c>
      <c r="F210" s="41">
        <f t="shared" si="88"/>
        <v>158202.90000000002</v>
      </c>
      <c r="G210" s="41" t="str">
        <f>IF(F210="-","-",IF(D210&gt;F210,"EXCESSIVAMENTE ELEVADO","VÁLIDO"))</f>
        <v>VÁLIDO</v>
      </c>
      <c r="H210" s="41">
        <f t="shared" si="86"/>
        <v>63203.5</v>
      </c>
      <c r="I210" s="41">
        <f>IF(H210="-","-",AVERAGE(H$205:H209,H211:H$218))</f>
        <v>88114.75</v>
      </c>
      <c r="J210" s="40">
        <f t="shared" si="89"/>
        <v>66086.0625</v>
      </c>
      <c r="K210" s="41" t="str">
        <f t="shared" si="87"/>
        <v>INEXEQUÍVEL</v>
      </c>
      <c r="L210" s="111"/>
      <c r="M210" s="106"/>
      <c r="N210" s="107"/>
      <c r="O210" s="109"/>
      <c r="P210" s="106"/>
    </row>
    <row r="211" spans="1:16" ht="22.5" x14ac:dyDescent="0.2">
      <c r="A211" s="99"/>
      <c r="B211" s="33" t="s">
        <v>32</v>
      </c>
      <c r="C211" s="33">
        <v>179</v>
      </c>
      <c r="D211" s="42">
        <v>102000</v>
      </c>
      <c r="E211" s="41">
        <f>IF(D211="-","-",AVERAGE(D$205:D210,D212:D$218))</f>
        <v>120096.23666666668</v>
      </c>
      <c r="F211" s="41">
        <f t="shared" si="88"/>
        <v>150120.29583333334</v>
      </c>
      <c r="G211" s="41" t="str">
        <f t="shared" ref="G211:G218" si="90">IF(F211="-","-",IF(D211&gt;F211,"EXCESSIVAMENTE ELEVADO","VÁLIDO"))</f>
        <v>VÁLIDO</v>
      </c>
      <c r="H211" s="41">
        <f t="shared" si="86"/>
        <v>102000</v>
      </c>
      <c r="I211" s="41">
        <f>IF(H211="-","-",AVERAGE(H$205:H210,H212:H$218))</f>
        <v>78415.625</v>
      </c>
      <c r="J211" s="40">
        <f t="shared" si="89"/>
        <v>58811.71875</v>
      </c>
      <c r="K211" s="41" t="str">
        <f t="shared" si="87"/>
        <v>VÁLIDO</v>
      </c>
      <c r="L211" s="111"/>
      <c r="M211" s="106"/>
      <c r="N211" s="107"/>
      <c r="O211" s="109"/>
      <c r="P211" s="106"/>
    </row>
    <row r="212" spans="1:16" ht="22.5" x14ac:dyDescent="0.2">
      <c r="A212" s="99"/>
      <c r="B212" s="33" t="s">
        <v>34</v>
      </c>
      <c r="C212" s="33">
        <v>186</v>
      </c>
      <c r="D212" s="42">
        <v>66800</v>
      </c>
      <c r="E212" s="41">
        <f>IF(D212="-","-",AVERAGE(D$205:D211,D213:D$218))</f>
        <v>125962.90333333334</v>
      </c>
      <c r="F212" s="41">
        <f t="shared" si="88"/>
        <v>157453.62916666668</v>
      </c>
      <c r="G212" s="41" t="str">
        <f t="shared" si="90"/>
        <v>VÁLIDO</v>
      </c>
      <c r="H212" s="41">
        <f t="shared" si="86"/>
        <v>66800</v>
      </c>
      <c r="I212" s="41">
        <f>IF(H212="-","-",AVERAGE(H$205:H211,H213:H$218))</f>
        <v>87215.625</v>
      </c>
      <c r="J212" s="40">
        <f>IF(I212="-","-",I212*75%)</f>
        <v>65411.71875</v>
      </c>
      <c r="K212" s="41" t="str">
        <f t="shared" si="87"/>
        <v>VÁLIDO</v>
      </c>
      <c r="L212" s="111"/>
      <c r="M212" s="106"/>
      <c r="N212" s="107"/>
      <c r="O212" s="109"/>
      <c r="P212" s="106"/>
    </row>
    <row r="213" spans="1:16" ht="22.5" x14ac:dyDescent="0.2">
      <c r="A213" s="99"/>
      <c r="B213" s="33" t="s">
        <v>33</v>
      </c>
      <c r="C213" s="33">
        <v>189</v>
      </c>
      <c r="D213" s="42">
        <v>92039</v>
      </c>
      <c r="E213" s="41">
        <f>IF(D213="-","-",AVERAGE(D$205:D212,D214:D$218))</f>
        <v>121756.40333333334</v>
      </c>
      <c r="F213" s="41">
        <f t="shared" si="88"/>
        <v>152195.50416666668</v>
      </c>
      <c r="G213" s="41" t="str">
        <f t="shared" si="90"/>
        <v>VÁLIDO</v>
      </c>
      <c r="H213" s="41">
        <f t="shared" si="86"/>
        <v>92039</v>
      </c>
      <c r="I213" s="41">
        <f>IF(H213="-","-",AVERAGE(H$205:H212,H214:H$218))</f>
        <v>80905.875</v>
      </c>
      <c r="J213" s="40">
        <f t="shared" ref="J213:J218" si="91">IF(I213="-","-",I213*75%)</f>
        <v>60679.40625</v>
      </c>
      <c r="K213" s="41" t="str">
        <f t="shared" si="87"/>
        <v>VÁLIDO</v>
      </c>
      <c r="L213" s="111"/>
      <c r="M213" s="106"/>
      <c r="N213" s="107"/>
      <c r="O213" s="109"/>
      <c r="P213" s="106"/>
    </row>
    <row r="214" spans="1:16" ht="22.5" x14ac:dyDescent="0.2">
      <c r="A214" s="99"/>
      <c r="B214" s="33" t="s">
        <v>35</v>
      </c>
      <c r="C214" s="33">
        <v>202</v>
      </c>
      <c r="D214" s="42">
        <v>91620</v>
      </c>
      <c r="E214" s="41">
        <f>IF(D214="-","-",AVERAGE(D$205:D213,D215:D$218))</f>
        <v>121826.23666666668</v>
      </c>
      <c r="F214" s="41">
        <f t="shared" si="88"/>
        <v>152282.79583333334</v>
      </c>
      <c r="G214" s="41" t="str">
        <f t="shared" si="90"/>
        <v>VÁLIDO</v>
      </c>
      <c r="H214" s="41">
        <f t="shared" si="86"/>
        <v>91620</v>
      </c>
      <c r="I214" s="41">
        <f>IF(H214="-","-",AVERAGE(H$205:H213,H215:H$218))</f>
        <v>81010.625</v>
      </c>
      <c r="J214" s="40">
        <f t="shared" si="91"/>
        <v>60757.96875</v>
      </c>
      <c r="K214" s="41" t="str">
        <f t="shared" si="87"/>
        <v>VÁLIDO</v>
      </c>
      <c r="L214" s="111"/>
      <c r="M214" s="106"/>
      <c r="N214" s="107"/>
      <c r="O214" s="109"/>
      <c r="P214" s="106"/>
    </row>
    <row r="215" spans="1:16" ht="22.5" x14ac:dyDescent="0.2">
      <c r="A215" s="99"/>
      <c r="B215" s="33" t="s">
        <v>19</v>
      </c>
      <c r="C215" s="33"/>
      <c r="D215" s="42" t="s">
        <v>18</v>
      </c>
      <c r="E215" s="41" t="str">
        <f>IF(D215="-","-",AVERAGE(D$205:D214,D216:D$218))</f>
        <v>-</v>
      </c>
      <c r="F215" s="41" t="str">
        <f t="shared" si="88"/>
        <v>-</v>
      </c>
      <c r="G215" s="41" t="str">
        <f t="shared" si="90"/>
        <v>-</v>
      </c>
      <c r="H215" s="41" t="str">
        <f t="shared" si="86"/>
        <v>-</v>
      </c>
      <c r="I215" s="41" t="str">
        <f>IF(H215="-","-",AVERAGE(H$205:H214,H216:H$218))</f>
        <v>-</v>
      </c>
      <c r="J215" s="40" t="str">
        <f t="shared" si="91"/>
        <v>-</v>
      </c>
      <c r="K215" s="41" t="str">
        <f t="shared" si="87"/>
        <v>-</v>
      </c>
      <c r="L215" s="111"/>
      <c r="M215" s="106"/>
      <c r="N215" s="107"/>
      <c r="O215" s="109"/>
      <c r="P215" s="106"/>
    </row>
    <row r="216" spans="1:16" ht="22.5" x14ac:dyDescent="0.2">
      <c r="A216" s="99"/>
      <c r="B216" s="33" t="s">
        <v>19</v>
      </c>
      <c r="C216" s="33"/>
      <c r="D216" s="42" t="s">
        <v>18</v>
      </c>
      <c r="E216" s="41" t="str">
        <f>IF(D216="-","-",AVERAGE(D$205:D215,D217:D$218))</f>
        <v>-</v>
      </c>
      <c r="F216" s="41" t="str">
        <f t="shared" si="88"/>
        <v>-</v>
      </c>
      <c r="G216" s="41" t="str">
        <f t="shared" si="90"/>
        <v>-</v>
      </c>
      <c r="H216" s="41" t="str">
        <f t="shared" si="86"/>
        <v>-</v>
      </c>
      <c r="I216" s="41" t="str">
        <f>IF(H216="-","-",AVERAGE(H$205:H215,H217:H$218))</f>
        <v>-</v>
      </c>
      <c r="J216" s="40" t="str">
        <f t="shared" si="91"/>
        <v>-</v>
      </c>
      <c r="K216" s="41" t="str">
        <f t="shared" si="87"/>
        <v>-</v>
      </c>
      <c r="L216" s="111"/>
      <c r="M216" s="106"/>
      <c r="N216" s="107"/>
      <c r="O216" s="109"/>
      <c r="P216" s="106"/>
    </row>
    <row r="217" spans="1:16" ht="22.5" x14ac:dyDescent="0.2">
      <c r="A217" s="99"/>
      <c r="B217" s="33" t="s">
        <v>19</v>
      </c>
      <c r="C217" s="33"/>
      <c r="D217" s="42" t="s">
        <v>18</v>
      </c>
      <c r="E217" s="41" t="str">
        <f>IF(D217="-","-",AVERAGE(D$205:D216,D218:D$218))</f>
        <v>-</v>
      </c>
      <c r="F217" s="41" t="str">
        <f t="shared" si="88"/>
        <v>-</v>
      </c>
      <c r="G217" s="41" t="str">
        <f t="shared" si="90"/>
        <v>-</v>
      </c>
      <c r="H217" s="41" t="str">
        <f t="shared" si="86"/>
        <v>-</v>
      </c>
      <c r="I217" s="41" t="str">
        <f>IF(H217="-","-",AVERAGE(H$205:H216,H218:H$218))</f>
        <v>-</v>
      </c>
      <c r="J217" s="40" t="str">
        <f t="shared" si="91"/>
        <v>-</v>
      </c>
      <c r="K217" s="41" t="str">
        <f t="shared" si="87"/>
        <v>-</v>
      </c>
      <c r="L217" s="111"/>
      <c r="M217" s="106"/>
      <c r="N217" s="107"/>
      <c r="O217" s="109"/>
      <c r="P217" s="106"/>
    </row>
    <row r="218" spans="1:16" ht="22.5" x14ac:dyDescent="0.2">
      <c r="A218" s="99"/>
      <c r="B218" s="33" t="s">
        <v>19</v>
      </c>
      <c r="C218" s="33"/>
      <c r="D218" s="42" t="s">
        <v>18</v>
      </c>
      <c r="E218" s="41" t="str">
        <f>IF(D218="-","-",AVERAGE(D$205:D217,D$218:D222))</f>
        <v>-</v>
      </c>
      <c r="F218" s="41" t="str">
        <f t="shared" si="88"/>
        <v>-</v>
      </c>
      <c r="G218" s="41" t="str">
        <f t="shared" si="90"/>
        <v>-</v>
      </c>
      <c r="H218" s="41" t="str">
        <f t="shared" si="86"/>
        <v>-</v>
      </c>
      <c r="I218" s="41" t="str">
        <f>IF(H218="-","-",AVERAGE(H$205:H217,H$218:H222))</f>
        <v>-</v>
      </c>
      <c r="J218" s="40" t="str">
        <f t="shared" si="91"/>
        <v>-</v>
      </c>
      <c r="K218" s="41" t="str">
        <f t="shared" si="87"/>
        <v>-</v>
      </c>
      <c r="L218" s="111"/>
      <c r="M218" s="106"/>
      <c r="N218" s="107"/>
      <c r="O218" s="110"/>
      <c r="P218" s="106"/>
    </row>
    <row r="219" spans="1:16" x14ac:dyDescent="0.2">
      <c r="A219" s="79"/>
      <c r="B219" s="80"/>
      <c r="C219" s="80"/>
      <c r="D219" s="81"/>
      <c r="E219" s="82"/>
      <c r="F219" s="82"/>
      <c r="G219" s="82"/>
      <c r="H219" s="82"/>
      <c r="I219" s="82"/>
      <c r="J219" s="83"/>
      <c r="K219" s="82"/>
      <c r="L219" s="84"/>
      <c r="M219" s="84"/>
      <c r="N219" s="85"/>
      <c r="O219" s="86"/>
      <c r="P219" s="10"/>
    </row>
    <row r="220" spans="1:16" x14ac:dyDescent="0.2">
      <c r="A220" s="79"/>
      <c r="B220" s="80"/>
      <c r="C220" s="80"/>
      <c r="D220" s="81"/>
      <c r="E220" s="82"/>
      <c r="F220" s="82"/>
      <c r="G220" s="82"/>
      <c r="H220" s="82"/>
      <c r="I220" s="82"/>
      <c r="J220" s="83"/>
      <c r="K220" s="82"/>
      <c r="L220" s="84"/>
      <c r="M220" s="84"/>
      <c r="N220" s="85"/>
      <c r="O220" s="86"/>
      <c r="P220" s="10"/>
    </row>
    <row r="221" spans="1:16" x14ac:dyDescent="0.2">
      <c r="A221" s="79"/>
      <c r="B221" s="80"/>
      <c r="C221" s="80"/>
      <c r="D221" s="81"/>
      <c r="E221" s="82"/>
      <c r="F221" s="82"/>
      <c r="G221" s="82"/>
      <c r="H221" s="82"/>
      <c r="I221" s="82"/>
      <c r="J221" s="83"/>
      <c r="K221" s="82"/>
      <c r="L221" s="84"/>
      <c r="M221" s="84"/>
      <c r="N221" s="85"/>
      <c r="O221" s="86"/>
      <c r="P221" s="10"/>
    </row>
    <row r="223" spans="1:16" x14ac:dyDescent="0.2">
      <c r="A223" s="49" t="s">
        <v>0</v>
      </c>
      <c r="B223" s="49" t="s">
        <v>1</v>
      </c>
      <c r="C223" s="73"/>
      <c r="D223" s="49" t="s">
        <v>2</v>
      </c>
      <c r="E223" s="112" t="s">
        <v>3</v>
      </c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</row>
    <row r="224" spans="1:16" x14ac:dyDescent="0.2">
      <c r="A224" s="26">
        <v>2</v>
      </c>
      <c r="B224" s="26">
        <v>12</v>
      </c>
      <c r="C224" s="26"/>
      <c r="D224" s="27" t="s">
        <v>28</v>
      </c>
      <c r="E224" s="113" t="s">
        <v>25</v>
      </c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</row>
    <row r="225" spans="1:16" ht="22.5" x14ac:dyDescent="0.2">
      <c r="A225" s="28" t="s">
        <v>4</v>
      </c>
      <c r="B225" s="28" t="s">
        <v>5</v>
      </c>
      <c r="C225" s="28"/>
      <c r="D225" s="28" t="s">
        <v>6</v>
      </c>
      <c r="E225" s="29" t="s">
        <v>7</v>
      </c>
      <c r="F225" s="30">
        <v>0.25</v>
      </c>
      <c r="G225" s="28" t="s">
        <v>8</v>
      </c>
      <c r="H225" s="28" t="s">
        <v>6</v>
      </c>
      <c r="I225" s="29" t="s">
        <v>7</v>
      </c>
      <c r="J225" s="31">
        <v>0.75</v>
      </c>
      <c r="K225" s="28" t="s">
        <v>8</v>
      </c>
      <c r="L225" s="7" t="s">
        <v>17</v>
      </c>
      <c r="M225" s="32" t="s">
        <v>13</v>
      </c>
      <c r="N225" s="32" t="s">
        <v>14</v>
      </c>
      <c r="O225" s="6" t="s">
        <v>16</v>
      </c>
      <c r="P225" s="28" t="s">
        <v>9</v>
      </c>
    </row>
    <row r="226" spans="1:16" x14ac:dyDescent="0.2">
      <c r="A226" s="48" t="s">
        <v>10</v>
      </c>
      <c r="B226" s="33" t="s">
        <v>18</v>
      </c>
      <c r="C226" s="33"/>
      <c r="D226" s="42" t="s">
        <v>18</v>
      </c>
      <c r="E226" s="41" t="str">
        <f>IF(D226="-","-",AVERAGE(D$227:D$239))</f>
        <v>-</v>
      </c>
      <c r="F226" s="41" t="str">
        <f>IF(D226="-","-",(E226*25%)+E226)</f>
        <v>-</v>
      </c>
      <c r="G226" s="41" t="str">
        <f t="shared" ref="G226:G230" si="92">IF(F226="-","-",IF(D226&gt;F226,"EXCESSIVAMENTE ELEVADO","VÁLIDO"))</f>
        <v>-</v>
      </c>
      <c r="H226" s="41" t="str">
        <f t="shared" ref="H226:H239" si="93">IF(G226="EXCESSIVAMENTE ELEVADO","-",D226)</f>
        <v>-</v>
      </c>
      <c r="I226" s="41" t="str">
        <f>IF(H226="-","-",AVERAGE(H$227:H$239))</f>
        <v>-</v>
      </c>
      <c r="J226" s="40" t="str">
        <f>IF(I226="-","-",I226*75%)</f>
        <v>-</v>
      </c>
      <c r="K226" s="41" t="str">
        <f>IF(J226="-","-",IF(H226&lt;J226,"INEXEQUÍVEL","VÁLIDO"))</f>
        <v>-</v>
      </c>
      <c r="L226" s="111">
        <f>AVERAGEIF(K226:K239,"VÁLIDO",H226:H239)</f>
        <v>24935.60666666667</v>
      </c>
      <c r="M226" s="106" cm="1">
        <f t="array" ref="M226">MEDIAN(IF(K226:K239="VÁLIDO",H226:H239))</f>
        <v>27550</v>
      </c>
      <c r="N226" s="107" cm="1">
        <f t="array" ref="N226">MIN(IF(K226:K239="VÁLIDO",H226:H239))</f>
        <v>7900</v>
      </c>
      <c r="O226" s="108">
        <f>L226</f>
        <v>24935.60666666667</v>
      </c>
      <c r="P226" s="106">
        <f>B224*O226</f>
        <v>299227.28000000003</v>
      </c>
    </row>
    <row r="227" spans="1:16" ht="22.5" x14ac:dyDescent="0.2">
      <c r="A227" s="48" t="s">
        <v>11</v>
      </c>
      <c r="B227" s="33" t="s">
        <v>101</v>
      </c>
      <c r="C227" s="33" t="s">
        <v>110</v>
      </c>
      <c r="D227" s="42">
        <v>7900</v>
      </c>
      <c r="E227" s="41">
        <f>IF(D227="-","-",AVERAGE(D$226:D226,D228:D239))</f>
        <v>31438.60666666667</v>
      </c>
      <c r="F227" s="41">
        <f>IF(D227="-","-",(E227*25%)+E227)</f>
        <v>39298.258333333339</v>
      </c>
      <c r="G227" s="41" t="str">
        <f t="shared" si="92"/>
        <v>VÁLIDO</v>
      </c>
      <c r="H227" s="41">
        <f t="shared" si="93"/>
        <v>7900</v>
      </c>
      <c r="I227" s="41">
        <f>IF(H227="-","-",AVERAGE(H$226:H226,H228:H$239))</f>
        <v>28342.728000000003</v>
      </c>
      <c r="J227" s="40">
        <f t="shared" ref="J227:J232" si="94">IF(I227="-","-",I227*75%)</f>
        <v>21257.046000000002</v>
      </c>
      <c r="K227" s="41" t="s">
        <v>40</v>
      </c>
      <c r="L227" s="111"/>
      <c r="M227" s="106"/>
      <c r="N227" s="107"/>
      <c r="O227" s="109"/>
      <c r="P227" s="106"/>
    </row>
    <row r="228" spans="1:16" ht="38.25" x14ac:dyDescent="0.2">
      <c r="A228" s="48" t="s">
        <v>11</v>
      </c>
      <c r="B228" s="33" t="s">
        <v>43</v>
      </c>
      <c r="C228" s="33">
        <v>314</v>
      </c>
      <c r="D228" s="42">
        <v>46918</v>
      </c>
      <c r="E228" s="41">
        <f>IF(D228="-","-",AVERAGE(D$226:D227,D229:D240))</f>
        <v>24935.60666666667</v>
      </c>
      <c r="F228" s="41">
        <f t="shared" ref="F228:F239" si="95">IF(D228="-","-",(E228*25%)+E228)</f>
        <v>31169.508333333339</v>
      </c>
      <c r="G228" s="41" t="str">
        <f t="shared" si="92"/>
        <v>EXCESSIVAMENTE ELEVADO</v>
      </c>
      <c r="H228" s="41" t="str">
        <f t="shared" si="93"/>
        <v>-</v>
      </c>
      <c r="I228" s="41" t="str">
        <f>IF(H228="-","-",AVERAGE(H$226:H227,H229:H$239))</f>
        <v>-</v>
      </c>
      <c r="J228" s="40" t="str">
        <f t="shared" si="94"/>
        <v>-</v>
      </c>
      <c r="K228" s="41" t="str">
        <f t="shared" ref="K228:K239" si="96">IF(J228="-","-",IF(H228&lt;J228,"INEXEQUÍVEL","VÁLIDO"))</f>
        <v>-</v>
      </c>
      <c r="L228" s="111"/>
      <c r="M228" s="106"/>
      <c r="N228" s="107"/>
      <c r="O228" s="109"/>
      <c r="P228" s="106"/>
    </row>
    <row r="229" spans="1:16" x14ac:dyDescent="0.2">
      <c r="A229" s="48" t="s">
        <v>11</v>
      </c>
      <c r="B229" s="33"/>
      <c r="C229" s="33"/>
      <c r="D229" s="42" t="s">
        <v>18</v>
      </c>
      <c r="E229" s="41" t="str">
        <f>IF(D229="-","-",AVERAGE(D$226:D228,D230:D241))</f>
        <v>-</v>
      </c>
      <c r="F229" s="41" t="str">
        <f t="shared" si="95"/>
        <v>-</v>
      </c>
      <c r="G229" s="41" t="str">
        <f t="shared" si="92"/>
        <v>-</v>
      </c>
      <c r="H229" s="41" t="str">
        <f t="shared" si="93"/>
        <v>-</v>
      </c>
      <c r="I229" s="41" t="str">
        <f>IF(H229="-","-",AVERAGE(H$226:H228,H230:H$239))</f>
        <v>-</v>
      </c>
      <c r="J229" s="40" t="str">
        <f t="shared" si="94"/>
        <v>-</v>
      </c>
      <c r="K229" s="41" t="str">
        <f t="shared" si="96"/>
        <v>-</v>
      </c>
      <c r="L229" s="111"/>
      <c r="M229" s="106"/>
      <c r="N229" s="107"/>
      <c r="O229" s="109"/>
      <c r="P229" s="106"/>
    </row>
    <row r="230" spans="1:16" x14ac:dyDescent="0.2">
      <c r="A230" s="37" t="s">
        <v>12</v>
      </c>
      <c r="B230" s="33"/>
      <c r="C230" s="33"/>
      <c r="D230" s="42" t="s">
        <v>18</v>
      </c>
      <c r="E230" s="41" t="str">
        <f>IF(D230="-","-",AVERAGE(D$226:D229,D231:D241))</f>
        <v>-</v>
      </c>
      <c r="F230" s="41" t="str">
        <f t="shared" si="95"/>
        <v>-</v>
      </c>
      <c r="G230" s="41" t="str">
        <f t="shared" si="92"/>
        <v>-</v>
      </c>
      <c r="H230" s="41" t="str">
        <f t="shared" si="93"/>
        <v>-</v>
      </c>
      <c r="I230" s="41" t="str">
        <f>IF(H230="-","-",AVERAGE(H$226:H229,H231:H$239))</f>
        <v>-</v>
      </c>
      <c r="J230" s="40" t="str">
        <f t="shared" si="94"/>
        <v>-</v>
      </c>
      <c r="K230" s="41" t="str">
        <f t="shared" si="96"/>
        <v>-</v>
      </c>
      <c r="L230" s="111"/>
      <c r="M230" s="106"/>
      <c r="N230" s="107"/>
      <c r="O230" s="109"/>
      <c r="P230" s="106"/>
    </row>
    <row r="231" spans="1:16" ht="22.5" x14ac:dyDescent="0.2">
      <c r="A231" s="99" t="s">
        <v>15</v>
      </c>
      <c r="B231" s="33" t="s">
        <v>31</v>
      </c>
      <c r="C231" s="33">
        <v>171</v>
      </c>
      <c r="D231" s="42">
        <v>21856.639999999999</v>
      </c>
      <c r="E231" s="41">
        <f>IF(D231="-","-",AVERAGE(D$226:D230,D232:D241))</f>
        <v>29112.5</v>
      </c>
      <c r="F231" s="41">
        <f t="shared" si="95"/>
        <v>36390.625</v>
      </c>
      <c r="G231" s="41" t="str">
        <f>IF(F231="-","-",IF(D231&gt;F231,"EXCESSIVAMENTE ELEVADO","VÁLIDO"))</f>
        <v>VÁLIDO</v>
      </c>
      <c r="H231" s="41">
        <f t="shared" si="93"/>
        <v>21856.639999999999</v>
      </c>
      <c r="I231" s="41">
        <f>IF(H231="-","-",AVERAGE(H$226:H230,H232:H$239))</f>
        <v>25551.4</v>
      </c>
      <c r="J231" s="40">
        <f t="shared" si="94"/>
        <v>19163.550000000003</v>
      </c>
      <c r="K231" s="41" t="str">
        <f t="shared" si="96"/>
        <v>VÁLIDO</v>
      </c>
      <c r="L231" s="111"/>
      <c r="M231" s="106"/>
      <c r="N231" s="107"/>
      <c r="O231" s="109"/>
      <c r="P231" s="106"/>
    </row>
    <row r="232" spans="1:16" ht="22.5" x14ac:dyDescent="0.2">
      <c r="A232" s="99"/>
      <c r="B232" s="33" t="s">
        <v>32</v>
      </c>
      <c r="C232" s="33">
        <v>180</v>
      </c>
      <c r="D232" s="42">
        <v>30000</v>
      </c>
      <c r="E232" s="41">
        <f>IF(D232="-","-",AVERAGE(D$226:D231,D233:D241))</f>
        <v>27755.273333333334</v>
      </c>
      <c r="F232" s="41">
        <f t="shared" si="95"/>
        <v>34694.091666666667</v>
      </c>
      <c r="G232" s="41" t="str">
        <f t="shared" ref="G232:G239" si="97">IF(F232="-","-",IF(D232&gt;F232,"EXCESSIVAMENTE ELEVADO","VÁLIDO"))</f>
        <v>VÁLIDO</v>
      </c>
      <c r="H232" s="41">
        <f t="shared" si="93"/>
        <v>30000</v>
      </c>
      <c r="I232" s="41">
        <f>IF(H232="-","-",AVERAGE(H$226:H231,H233:H$239))</f>
        <v>23922.727999999999</v>
      </c>
      <c r="J232" s="40">
        <f t="shared" si="94"/>
        <v>17942.045999999998</v>
      </c>
      <c r="K232" s="41" t="str">
        <f t="shared" si="96"/>
        <v>VÁLIDO</v>
      </c>
      <c r="L232" s="111"/>
      <c r="M232" s="106"/>
      <c r="N232" s="107"/>
      <c r="O232" s="109"/>
      <c r="P232" s="106"/>
    </row>
    <row r="233" spans="1:16" ht="22.5" x14ac:dyDescent="0.2">
      <c r="A233" s="99"/>
      <c r="B233" s="33" t="s">
        <v>34</v>
      </c>
      <c r="C233" s="33">
        <v>186</v>
      </c>
      <c r="D233" s="42">
        <v>25100</v>
      </c>
      <c r="E233" s="41">
        <f>IF(D233="-","-",AVERAGE(D$226:D232,D234:D241))</f>
        <v>28571.940000000002</v>
      </c>
      <c r="F233" s="41">
        <f t="shared" si="95"/>
        <v>35714.925000000003</v>
      </c>
      <c r="G233" s="41" t="str">
        <f t="shared" si="97"/>
        <v>VÁLIDO</v>
      </c>
      <c r="H233" s="41">
        <f t="shared" si="93"/>
        <v>25100</v>
      </c>
      <c r="I233" s="41">
        <f>IF(H233="-","-",AVERAGE(H$226:H232,H234:H$239))</f>
        <v>24902.727999999999</v>
      </c>
      <c r="J233" s="40">
        <f>IF(I233="-","-",I233*75%)</f>
        <v>18677.045999999998</v>
      </c>
      <c r="K233" s="41" t="str">
        <f t="shared" si="96"/>
        <v>VÁLIDO</v>
      </c>
      <c r="L233" s="111"/>
      <c r="M233" s="106"/>
      <c r="N233" s="107"/>
      <c r="O233" s="109"/>
      <c r="P233" s="106"/>
    </row>
    <row r="234" spans="1:16" ht="22.5" x14ac:dyDescent="0.2">
      <c r="A234" s="99"/>
      <c r="B234" s="33" t="s">
        <v>33</v>
      </c>
      <c r="C234" s="33">
        <v>189</v>
      </c>
      <c r="D234" s="42">
        <v>31937</v>
      </c>
      <c r="E234" s="41">
        <f>IF(D234="-","-",AVERAGE(D$226:D233,D235:D241))</f>
        <v>27432.440000000002</v>
      </c>
      <c r="F234" s="41">
        <f t="shared" si="95"/>
        <v>34290.550000000003</v>
      </c>
      <c r="G234" s="41" t="str">
        <f t="shared" si="97"/>
        <v>VÁLIDO</v>
      </c>
      <c r="H234" s="41">
        <f t="shared" si="93"/>
        <v>31937</v>
      </c>
      <c r="I234" s="41">
        <f>IF(H234="-","-",AVERAGE(H$226:H233,H235:H$239))</f>
        <v>23535.328000000001</v>
      </c>
      <c r="J234" s="40">
        <f t="shared" ref="J234:J239" si="98">IF(I234="-","-",I234*75%)</f>
        <v>17651.495999999999</v>
      </c>
      <c r="K234" s="41" t="str">
        <f t="shared" si="96"/>
        <v>VÁLIDO</v>
      </c>
      <c r="L234" s="111"/>
      <c r="M234" s="106"/>
      <c r="N234" s="107"/>
      <c r="O234" s="109"/>
      <c r="P234" s="106"/>
    </row>
    <row r="235" spans="1:16" ht="22.5" x14ac:dyDescent="0.2">
      <c r="A235" s="99"/>
      <c r="B235" s="33" t="s">
        <v>35</v>
      </c>
      <c r="C235" s="33">
        <v>203</v>
      </c>
      <c r="D235" s="42">
        <v>32820</v>
      </c>
      <c r="E235" s="41">
        <f>IF(D235="-","-",AVERAGE(D$226:D234,D236:D241))</f>
        <v>27285.273333333334</v>
      </c>
      <c r="F235" s="41">
        <f t="shared" si="95"/>
        <v>34106.591666666667</v>
      </c>
      <c r="G235" s="41" t="str">
        <f t="shared" si="97"/>
        <v>VÁLIDO</v>
      </c>
      <c r="H235" s="41">
        <f t="shared" si="93"/>
        <v>32820</v>
      </c>
      <c r="I235" s="41">
        <f>IF(H235="-","-",AVERAGE(H$226:H234,H236:H$239))</f>
        <v>23358.727999999999</v>
      </c>
      <c r="J235" s="40">
        <f t="shared" si="98"/>
        <v>17519.045999999998</v>
      </c>
      <c r="K235" s="41" t="str">
        <f t="shared" si="96"/>
        <v>VÁLIDO</v>
      </c>
      <c r="L235" s="111"/>
      <c r="M235" s="106"/>
      <c r="N235" s="107"/>
      <c r="O235" s="109"/>
      <c r="P235" s="106"/>
    </row>
    <row r="236" spans="1:16" ht="22.5" x14ac:dyDescent="0.2">
      <c r="A236" s="99"/>
      <c r="B236" s="33" t="s">
        <v>19</v>
      </c>
      <c r="C236" s="33"/>
      <c r="D236" s="42" t="s">
        <v>18</v>
      </c>
      <c r="E236" s="41" t="str">
        <f>IF(D236="-","-",AVERAGE(D$226:D235,D237:D242))</f>
        <v>-</v>
      </c>
      <c r="F236" s="41" t="str">
        <f t="shared" si="95"/>
        <v>-</v>
      </c>
      <c r="G236" s="41" t="str">
        <f t="shared" si="97"/>
        <v>-</v>
      </c>
      <c r="H236" s="41" t="str">
        <f t="shared" si="93"/>
        <v>-</v>
      </c>
      <c r="I236" s="41" t="str">
        <f>IF(H236="-","-",AVERAGE(H$226:H235,H237:H$239))</f>
        <v>-</v>
      </c>
      <c r="J236" s="40" t="str">
        <f t="shared" si="98"/>
        <v>-</v>
      </c>
      <c r="K236" s="41" t="str">
        <f t="shared" si="96"/>
        <v>-</v>
      </c>
      <c r="L236" s="111"/>
      <c r="M236" s="106"/>
      <c r="N236" s="107"/>
      <c r="O236" s="109"/>
      <c r="P236" s="106"/>
    </row>
    <row r="237" spans="1:16" ht="22.5" x14ac:dyDescent="0.2">
      <c r="A237" s="99"/>
      <c r="B237" s="33" t="s">
        <v>19</v>
      </c>
      <c r="C237" s="33"/>
      <c r="D237" s="42" t="s">
        <v>18</v>
      </c>
      <c r="E237" s="41" t="str">
        <f>IF(D237="-","-",AVERAGE(D$226:D236,D238:D243))</f>
        <v>-</v>
      </c>
      <c r="F237" s="41" t="str">
        <f t="shared" si="95"/>
        <v>-</v>
      </c>
      <c r="G237" s="41" t="str">
        <f t="shared" si="97"/>
        <v>-</v>
      </c>
      <c r="H237" s="41" t="str">
        <f t="shared" si="93"/>
        <v>-</v>
      </c>
      <c r="I237" s="41" t="str">
        <f>IF(H237="-","-",AVERAGE(H$226:H236,H238:H$239))</f>
        <v>-</v>
      </c>
      <c r="J237" s="40" t="str">
        <f t="shared" si="98"/>
        <v>-</v>
      </c>
      <c r="K237" s="41" t="str">
        <f t="shared" si="96"/>
        <v>-</v>
      </c>
      <c r="L237" s="111"/>
      <c r="M237" s="106"/>
      <c r="N237" s="107"/>
      <c r="O237" s="109"/>
      <c r="P237" s="106"/>
    </row>
    <row r="238" spans="1:16" ht="22.5" x14ac:dyDescent="0.2">
      <c r="A238" s="99"/>
      <c r="B238" s="33" t="s">
        <v>19</v>
      </c>
      <c r="C238" s="33"/>
      <c r="D238" s="42" t="s">
        <v>18</v>
      </c>
      <c r="E238" s="41" t="str">
        <f>IF(D238="-","-",AVERAGE(D$226:D237,D239:D244))</f>
        <v>-</v>
      </c>
      <c r="F238" s="41" t="str">
        <f t="shared" si="95"/>
        <v>-</v>
      </c>
      <c r="G238" s="41" t="str">
        <f t="shared" si="97"/>
        <v>-</v>
      </c>
      <c r="H238" s="41" t="str">
        <f t="shared" si="93"/>
        <v>-</v>
      </c>
      <c r="I238" s="41" t="str">
        <f>IF(H238="-","-",AVERAGE(H$226:H237,H239:H$239))</f>
        <v>-</v>
      </c>
      <c r="J238" s="40" t="str">
        <f t="shared" si="98"/>
        <v>-</v>
      </c>
      <c r="K238" s="41" t="str">
        <f t="shared" si="96"/>
        <v>-</v>
      </c>
      <c r="L238" s="111"/>
      <c r="M238" s="106"/>
      <c r="N238" s="107"/>
      <c r="O238" s="109"/>
      <c r="P238" s="106"/>
    </row>
    <row r="239" spans="1:16" ht="22.5" x14ac:dyDescent="0.2">
      <c r="A239" s="99"/>
      <c r="B239" s="33" t="s">
        <v>19</v>
      </c>
      <c r="C239" s="33"/>
      <c r="D239" s="42" t="s">
        <v>18</v>
      </c>
      <c r="E239" s="41" t="str">
        <f>IF(D239="-","-",AVERAGE(D$226:D238,D240:D245))</f>
        <v>-</v>
      </c>
      <c r="F239" s="41" t="str">
        <f t="shared" si="95"/>
        <v>-</v>
      </c>
      <c r="G239" s="41" t="str">
        <f t="shared" si="97"/>
        <v>-</v>
      </c>
      <c r="H239" s="41" t="str">
        <f t="shared" si="93"/>
        <v>-</v>
      </c>
      <c r="I239" s="41" t="str">
        <f>IF(H239="-","-",AVERAGE(H$226:H238,H$239:H240))</f>
        <v>-</v>
      </c>
      <c r="J239" s="40" t="str">
        <f t="shared" si="98"/>
        <v>-</v>
      </c>
      <c r="K239" s="41" t="str">
        <f t="shared" si="96"/>
        <v>-</v>
      </c>
      <c r="L239" s="111"/>
      <c r="M239" s="106"/>
      <c r="N239" s="107"/>
      <c r="O239" s="110"/>
      <c r="P239" s="106"/>
    </row>
    <row r="243" spans="1:19" x14ac:dyDescent="0.2">
      <c r="A243" s="49" t="s">
        <v>0</v>
      </c>
      <c r="B243" s="49" t="s">
        <v>1</v>
      </c>
      <c r="C243" s="73"/>
      <c r="D243" s="49" t="s">
        <v>2</v>
      </c>
      <c r="E243" s="112" t="s">
        <v>3</v>
      </c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</row>
    <row r="244" spans="1:19" x14ac:dyDescent="0.2">
      <c r="A244" s="26">
        <v>3</v>
      </c>
      <c r="B244" s="26">
        <v>192</v>
      </c>
      <c r="C244" s="26"/>
      <c r="D244" s="27" t="s">
        <v>27</v>
      </c>
      <c r="E244" s="113" t="s">
        <v>29</v>
      </c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</row>
    <row r="245" spans="1:19" ht="22.5" x14ac:dyDescent="0.2">
      <c r="A245" s="28" t="s">
        <v>4</v>
      </c>
      <c r="B245" s="28" t="s">
        <v>5</v>
      </c>
      <c r="C245" s="28"/>
      <c r="D245" s="28" t="s">
        <v>6</v>
      </c>
      <c r="E245" s="29" t="s">
        <v>7</v>
      </c>
      <c r="F245" s="30">
        <v>0.25</v>
      </c>
      <c r="G245" s="28" t="s">
        <v>8</v>
      </c>
      <c r="H245" s="28" t="s">
        <v>6</v>
      </c>
      <c r="I245" s="29" t="s">
        <v>7</v>
      </c>
      <c r="J245" s="31">
        <v>0.75</v>
      </c>
      <c r="K245" s="28" t="s">
        <v>8</v>
      </c>
      <c r="L245" s="7" t="s">
        <v>17</v>
      </c>
      <c r="M245" s="32" t="s">
        <v>13</v>
      </c>
      <c r="N245" s="32" t="s">
        <v>14</v>
      </c>
      <c r="O245" s="6" t="s">
        <v>16</v>
      </c>
      <c r="P245" s="28" t="s">
        <v>9</v>
      </c>
    </row>
    <row r="246" spans="1:19" x14ac:dyDescent="0.2">
      <c r="A246" s="48" t="s">
        <v>10</v>
      </c>
      <c r="B246" s="33" t="s">
        <v>18</v>
      </c>
      <c r="C246" s="33"/>
      <c r="D246" s="42" t="s">
        <v>18</v>
      </c>
      <c r="E246" s="41" t="str">
        <f>IF(D246="-","-",AVERAGE(D$247:D$259))</f>
        <v>-</v>
      </c>
      <c r="F246" s="41" t="str">
        <f>IF(D246="-","-",(E246*25%)+E246)</f>
        <v>-</v>
      </c>
      <c r="G246" s="41" t="str">
        <f t="shared" ref="G246:G250" si="99">IF(F246="-","-",IF(D246&gt;F246,"EXCESSIVAMENTE ELEVADO","VÁLIDO"))</f>
        <v>-</v>
      </c>
      <c r="H246" s="41" t="str">
        <f t="shared" ref="H246:H259" si="100">IF(G246="EXCESSIVAMENTE ELEVADO","-",D246)</f>
        <v>-</v>
      </c>
      <c r="I246" s="41" t="str">
        <f>IF(H246="-","-",AVERAGE(H$246:H$259))</f>
        <v>-</v>
      </c>
      <c r="J246" s="40" t="str">
        <f>IF(I246="-","-",I246*75%)</f>
        <v>-</v>
      </c>
      <c r="K246" s="41" t="str">
        <f>IF(J246="-","-",IF(H246&lt;J246,"INEXEQUÍVEL","VÁLIDO"))</f>
        <v>-</v>
      </c>
      <c r="L246" s="111">
        <f>AVERAGEIF(K246:K259,"VÁLIDO",H246:H259)</f>
        <v>235.81666666666669</v>
      </c>
      <c r="M246" s="106" cm="1">
        <f t="array" ref="M246">MEDIAN(IF(K246:K259="VÁLIDO",H246:H259))</f>
        <v>244.5</v>
      </c>
      <c r="N246" s="107" cm="1">
        <f t="array" ref="N246">MIN(IF(K246:K259="VÁLIDO",H246:H259))</f>
        <v>176.4</v>
      </c>
      <c r="O246" s="108">
        <f>L246</f>
        <v>235.81666666666669</v>
      </c>
      <c r="P246" s="106">
        <f>B244*O246</f>
        <v>45276.800000000003</v>
      </c>
    </row>
    <row r="247" spans="1:19" x14ac:dyDescent="0.2">
      <c r="A247" s="48" t="s">
        <v>11</v>
      </c>
      <c r="B247" s="33"/>
      <c r="C247" s="33"/>
      <c r="D247" s="42" t="s">
        <v>18</v>
      </c>
      <c r="E247" s="41" t="str">
        <f>IF(D247="-","-",AVERAGE(D$246:D246,D248:D$259))</f>
        <v>-</v>
      </c>
      <c r="F247" s="41" t="str">
        <f>IF(D247="-","-",(E247*25%)+E247)</f>
        <v>-</v>
      </c>
      <c r="G247" s="41" t="str">
        <f t="shared" si="99"/>
        <v>-</v>
      </c>
      <c r="H247" s="41" t="str">
        <f t="shared" si="100"/>
        <v>-</v>
      </c>
      <c r="I247" s="41" t="str">
        <f>IF(H247="-","-",AVERAGE(H$246:H246,H248:H$259))</f>
        <v>-</v>
      </c>
      <c r="J247" s="40" t="str">
        <f t="shared" ref="J247:J252" si="101">IF(I247="-","-",I247*75%)</f>
        <v>-</v>
      </c>
      <c r="K247" s="41" t="str">
        <f t="shared" ref="K247:K259" si="102">IF(J247="-","-",IF(H247&lt;J247,"INEXEQUÍVEL","VÁLIDO"))</f>
        <v>-</v>
      </c>
      <c r="L247" s="111"/>
      <c r="M247" s="106"/>
      <c r="N247" s="107"/>
      <c r="O247" s="109"/>
      <c r="P247" s="106"/>
    </row>
    <row r="248" spans="1:19" ht="22.5" x14ac:dyDescent="0.2">
      <c r="A248" s="48" t="s">
        <v>11</v>
      </c>
      <c r="B248" s="33" t="s">
        <v>43</v>
      </c>
      <c r="C248" s="33">
        <v>314</v>
      </c>
      <c r="D248" s="42">
        <v>176.4</v>
      </c>
      <c r="E248" s="41">
        <f>IF(D248="-","-",AVERAGE(D$246:D247,D249:D$259))</f>
        <v>247.7</v>
      </c>
      <c r="F248" s="41">
        <f t="shared" ref="F248:F259" si="103">IF(D248="-","-",(E248*25%)+E248)</f>
        <v>309.625</v>
      </c>
      <c r="G248" s="41" t="str">
        <f t="shared" si="99"/>
        <v>VÁLIDO</v>
      </c>
      <c r="H248" s="41">
        <f t="shared" si="100"/>
        <v>176.4</v>
      </c>
      <c r="I248" s="41">
        <f>IF(H248="-","-",AVERAGE(H$246:H247,H249:H$259))</f>
        <v>247.7</v>
      </c>
      <c r="J248" s="40">
        <f t="shared" si="101"/>
        <v>185.77499999999998</v>
      </c>
      <c r="K248" s="41" t="s">
        <v>40</v>
      </c>
      <c r="L248" s="111"/>
      <c r="M248" s="106"/>
      <c r="N248" s="107"/>
      <c r="O248" s="109"/>
      <c r="P248" s="106"/>
    </row>
    <row r="249" spans="1:19" x14ac:dyDescent="0.2">
      <c r="A249" s="48" t="s">
        <v>11</v>
      </c>
      <c r="B249" s="33"/>
      <c r="C249" s="33"/>
      <c r="D249" s="42" t="s">
        <v>18</v>
      </c>
      <c r="E249" s="41" t="str">
        <f>IF(D249="-","-",AVERAGE(D$246:D248,D250:D$259))</f>
        <v>-</v>
      </c>
      <c r="F249" s="41" t="str">
        <f t="shared" si="103"/>
        <v>-</v>
      </c>
      <c r="G249" s="41" t="str">
        <f t="shared" si="99"/>
        <v>-</v>
      </c>
      <c r="H249" s="41" t="str">
        <f t="shared" si="100"/>
        <v>-</v>
      </c>
      <c r="I249" s="41" t="str">
        <f>IF(H249="-","-",AVERAGE(H$246:H248,H250:H$259))</f>
        <v>-</v>
      </c>
      <c r="J249" s="40" t="str">
        <f t="shared" si="101"/>
        <v>-</v>
      </c>
      <c r="K249" s="41" t="str">
        <f t="shared" si="102"/>
        <v>-</v>
      </c>
      <c r="L249" s="111"/>
      <c r="M249" s="106"/>
      <c r="N249" s="107"/>
      <c r="O249" s="109"/>
      <c r="P249" s="106"/>
    </row>
    <row r="250" spans="1:19" x14ac:dyDescent="0.2">
      <c r="A250" s="37" t="s">
        <v>12</v>
      </c>
      <c r="B250" s="33"/>
      <c r="C250" s="33"/>
      <c r="D250" s="42" t="s">
        <v>18</v>
      </c>
      <c r="E250" s="41" t="str">
        <f>IF(D250="-","-",AVERAGE(D$246:D249,D251:D$259))</f>
        <v>-</v>
      </c>
      <c r="F250" s="41" t="str">
        <f t="shared" si="103"/>
        <v>-</v>
      </c>
      <c r="G250" s="41" t="str">
        <f t="shared" si="99"/>
        <v>-</v>
      </c>
      <c r="H250" s="41" t="str">
        <f t="shared" si="100"/>
        <v>-</v>
      </c>
      <c r="I250" s="41" t="str">
        <f>IF(H250="-","-",AVERAGE(H$246:H249,H251:H$259))</f>
        <v>-</v>
      </c>
      <c r="J250" s="40" t="str">
        <f t="shared" si="101"/>
        <v>-</v>
      </c>
      <c r="K250" s="41" t="str">
        <f t="shared" si="102"/>
        <v>-</v>
      </c>
      <c r="L250" s="111"/>
      <c r="M250" s="106"/>
      <c r="N250" s="107"/>
      <c r="O250" s="109"/>
      <c r="P250" s="106"/>
    </row>
    <row r="251" spans="1:19" ht="22.5" x14ac:dyDescent="0.2">
      <c r="A251" s="99" t="s">
        <v>15</v>
      </c>
      <c r="B251" s="33" t="s">
        <v>31</v>
      </c>
      <c r="C251" s="33">
        <v>171</v>
      </c>
      <c r="D251" s="42">
        <v>231.5</v>
      </c>
      <c r="E251" s="41">
        <f>IF(D251="-","-",AVERAGE(D$246:D250,D252:D$259))</f>
        <v>236.68</v>
      </c>
      <c r="F251" s="41">
        <f t="shared" si="103"/>
        <v>295.85000000000002</v>
      </c>
      <c r="G251" s="41" t="str">
        <f>IF(F251="-","-",IF(D251&gt;F251,"EXCESSIVAMENTE ELEVADO","VÁLIDO"))</f>
        <v>VÁLIDO</v>
      </c>
      <c r="H251" s="41">
        <f t="shared" si="100"/>
        <v>231.5</v>
      </c>
      <c r="I251" s="41">
        <f>IF(H251="-","-",AVERAGE(H$246:H250,H252:H$259))</f>
        <v>236.68</v>
      </c>
      <c r="J251" s="40">
        <f t="shared" si="101"/>
        <v>177.51</v>
      </c>
      <c r="K251" s="41" t="str">
        <f t="shared" si="102"/>
        <v>VÁLIDO</v>
      </c>
      <c r="L251" s="111"/>
      <c r="M251" s="106"/>
      <c r="N251" s="107"/>
      <c r="O251" s="109"/>
      <c r="P251" s="106"/>
      <c r="R251" s="72">
        <f>P205</f>
        <v>88114.75</v>
      </c>
    </row>
    <row r="252" spans="1:19" ht="22.5" customHeight="1" x14ac:dyDescent="0.2">
      <c r="A252" s="99"/>
      <c r="B252" s="33" t="s">
        <v>32</v>
      </c>
      <c r="C252" s="33">
        <v>179</v>
      </c>
      <c r="D252" s="42">
        <v>245</v>
      </c>
      <c r="E252" s="41">
        <f>IF(D252="-","-",AVERAGE(D$246:D251,D253:D$259))</f>
        <v>233.98000000000002</v>
      </c>
      <c r="F252" s="41">
        <f t="shared" si="103"/>
        <v>292.47500000000002</v>
      </c>
      <c r="G252" s="41" t="str">
        <f t="shared" ref="G252:G259" si="104">IF(F252="-","-",IF(D252&gt;F252,"EXCESSIVAMENTE ELEVADO","VÁLIDO"))</f>
        <v>VÁLIDO</v>
      </c>
      <c r="H252" s="41">
        <f t="shared" si="100"/>
        <v>245</v>
      </c>
      <c r="I252" s="41">
        <f>IF(H252="-","-",AVERAGE(H$246:H251,H253:H$259))</f>
        <v>233.98000000000002</v>
      </c>
      <c r="J252" s="40">
        <f t="shared" si="101"/>
        <v>175.48500000000001</v>
      </c>
      <c r="K252" s="41" t="str">
        <f t="shared" si="102"/>
        <v>VÁLIDO</v>
      </c>
      <c r="L252" s="111"/>
      <c r="M252" s="106"/>
      <c r="N252" s="107"/>
      <c r="O252" s="109"/>
      <c r="P252" s="106"/>
      <c r="R252" s="98">
        <f>P226/12*7</f>
        <v>174549.2466666667</v>
      </c>
    </row>
    <row r="253" spans="1:19" ht="22.5" x14ac:dyDescent="0.2">
      <c r="A253" s="99"/>
      <c r="B253" s="33" t="s">
        <v>34</v>
      </c>
      <c r="C253" s="33">
        <v>186</v>
      </c>
      <c r="D253" s="42">
        <v>250</v>
      </c>
      <c r="E253" s="41">
        <f>IF(D253="-","-",AVERAGE(D$246:D252,D254:D$259))</f>
        <v>232.98000000000002</v>
      </c>
      <c r="F253" s="41">
        <f t="shared" si="103"/>
        <v>291.22500000000002</v>
      </c>
      <c r="G253" s="41" t="str">
        <f t="shared" si="104"/>
        <v>VÁLIDO</v>
      </c>
      <c r="H253" s="41">
        <f t="shared" si="100"/>
        <v>250</v>
      </c>
      <c r="I253" s="41">
        <f>IF(H253="-","-",AVERAGE(H$246:H252,H254:H$259))</f>
        <v>232.98000000000002</v>
      </c>
      <c r="J253" s="40">
        <f>IF(I253="-","-",I253*75%)</f>
        <v>174.73500000000001</v>
      </c>
      <c r="K253" s="41" t="str">
        <f t="shared" si="102"/>
        <v>VÁLIDO</v>
      </c>
      <c r="L253" s="111"/>
      <c r="M253" s="106"/>
      <c r="N253" s="107"/>
      <c r="O253" s="109"/>
      <c r="P253" s="106"/>
      <c r="R253" s="98">
        <f>P246/12*7</f>
        <v>26411.466666666671</v>
      </c>
    </row>
    <row r="254" spans="1:19" ht="22.5" x14ac:dyDescent="0.2">
      <c r="A254" s="99"/>
      <c r="B254" s="33" t="s">
        <v>33</v>
      </c>
      <c r="C254" s="33">
        <v>189</v>
      </c>
      <c r="D254" s="42">
        <v>244</v>
      </c>
      <c r="E254" s="41">
        <f>IF(D254="-","-",AVERAGE(D$246:D253,D255:D$259))</f>
        <v>234.18</v>
      </c>
      <c r="F254" s="41">
        <f t="shared" si="103"/>
        <v>292.72500000000002</v>
      </c>
      <c r="G254" s="41" t="str">
        <f t="shared" si="104"/>
        <v>VÁLIDO</v>
      </c>
      <c r="H254" s="41">
        <f t="shared" si="100"/>
        <v>244</v>
      </c>
      <c r="I254" s="41">
        <f>IF(H254="-","-",AVERAGE(H$246:H253,H255:H$259))</f>
        <v>234.18</v>
      </c>
      <c r="J254" s="40">
        <f t="shared" ref="J254:J259" si="105">IF(I254="-","-",I254*75%)</f>
        <v>175.63499999999999</v>
      </c>
      <c r="K254" s="41" t="str">
        <f t="shared" si="102"/>
        <v>VÁLIDO</v>
      </c>
      <c r="L254" s="111"/>
      <c r="M254" s="106"/>
      <c r="N254" s="107"/>
      <c r="O254" s="109"/>
      <c r="P254" s="106"/>
      <c r="R254" s="72">
        <f>SUM(R251:R253)</f>
        <v>289075.46333333338</v>
      </c>
      <c r="S254" s="76"/>
    </row>
    <row r="255" spans="1:19" ht="22.5" x14ac:dyDescent="0.2">
      <c r="A255" s="99"/>
      <c r="B255" s="33" t="s">
        <v>35</v>
      </c>
      <c r="C255" s="33">
        <v>203</v>
      </c>
      <c r="D255" s="42">
        <v>268</v>
      </c>
      <c r="E255" s="41">
        <f>IF(D255="-","-",AVERAGE(D$246:D254,D256:D$259))</f>
        <v>229.38000000000002</v>
      </c>
      <c r="F255" s="41">
        <f t="shared" si="103"/>
        <v>286.72500000000002</v>
      </c>
      <c r="G255" s="41" t="str">
        <f t="shared" si="104"/>
        <v>VÁLIDO</v>
      </c>
      <c r="H255" s="41">
        <f t="shared" si="100"/>
        <v>268</v>
      </c>
      <c r="I255" s="41">
        <f>IF(H255="-","-",AVERAGE(H$246:H254,H256:H$259))</f>
        <v>229.38000000000002</v>
      </c>
      <c r="J255" s="40">
        <f t="shared" si="105"/>
        <v>172.03500000000003</v>
      </c>
      <c r="K255" s="41" t="str">
        <f t="shared" si="102"/>
        <v>VÁLIDO</v>
      </c>
      <c r="L255" s="111"/>
      <c r="M255" s="106"/>
      <c r="N255" s="107"/>
      <c r="O255" s="109"/>
      <c r="P255" s="106"/>
    </row>
    <row r="256" spans="1:19" ht="22.5" x14ac:dyDescent="0.2">
      <c r="A256" s="99"/>
      <c r="B256" s="33" t="s">
        <v>19</v>
      </c>
      <c r="C256" s="33"/>
      <c r="D256" s="42" t="s">
        <v>18</v>
      </c>
      <c r="E256" s="41" t="str">
        <f>IF(D256="-","-",AVERAGE(D$246:D255,D257:D$259))</f>
        <v>-</v>
      </c>
      <c r="F256" s="41" t="str">
        <f t="shared" si="103"/>
        <v>-</v>
      </c>
      <c r="G256" s="41" t="str">
        <f t="shared" si="104"/>
        <v>-</v>
      </c>
      <c r="H256" s="41" t="str">
        <f t="shared" si="100"/>
        <v>-</v>
      </c>
      <c r="I256" s="41" t="str">
        <f>IF(H256="-","-",AVERAGE(H$246:H255,H257:H$259))</f>
        <v>-</v>
      </c>
      <c r="J256" s="40" t="str">
        <f t="shared" si="105"/>
        <v>-</v>
      </c>
      <c r="K256" s="41" t="str">
        <f t="shared" si="102"/>
        <v>-</v>
      </c>
      <c r="L256" s="111"/>
      <c r="M256" s="106"/>
      <c r="N256" s="107"/>
      <c r="O256" s="109"/>
      <c r="P256" s="106"/>
    </row>
    <row r="257" spans="1:16" ht="22.5" x14ac:dyDescent="0.2">
      <c r="A257" s="99"/>
      <c r="B257" s="33" t="s">
        <v>19</v>
      </c>
      <c r="C257" s="33"/>
      <c r="D257" s="42" t="s">
        <v>18</v>
      </c>
      <c r="E257" s="41" t="str">
        <f>IF(D257="-","-",AVERAGE(D$246:D256,D258:D$259))</f>
        <v>-</v>
      </c>
      <c r="F257" s="41" t="str">
        <f t="shared" si="103"/>
        <v>-</v>
      </c>
      <c r="G257" s="41" t="str">
        <f t="shared" si="104"/>
        <v>-</v>
      </c>
      <c r="H257" s="41" t="str">
        <f t="shared" si="100"/>
        <v>-</v>
      </c>
      <c r="I257" s="41" t="str">
        <f>IF(H257="-","-",AVERAGE(H$246:H256,H258:H$259))</f>
        <v>-</v>
      </c>
      <c r="J257" s="40" t="str">
        <f t="shared" si="105"/>
        <v>-</v>
      </c>
      <c r="K257" s="41" t="str">
        <f t="shared" si="102"/>
        <v>-</v>
      </c>
      <c r="L257" s="111"/>
      <c r="M257" s="106"/>
      <c r="N257" s="107"/>
      <c r="O257" s="109"/>
      <c r="P257" s="106"/>
    </row>
    <row r="258" spans="1:16" ht="22.5" x14ac:dyDescent="0.2">
      <c r="A258" s="99"/>
      <c r="B258" s="33" t="s">
        <v>19</v>
      </c>
      <c r="C258" s="33"/>
      <c r="D258" s="42" t="s">
        <v>18</v>
      </c>
      <c r="E258" s="41" t="str">
        <f>IF(D258="-","-",AVERAGE(D$246:D257,D259:D$259))</f>
        <v>-</v>
      </c>
      <c r="F258" s="41" t="str">
        <f t="shared" si="103"/>
        <v>-</v>
      </c>
      <c r="G258" s="41" t="str">
        <f t="shared" si="104"/>
        <v>-</v>
      </c>
      <c r="H258" s="41" t="str">
        <f t="shared" si="100"/>
        <v>-</v>
      </c>
      <c r="I258" s="41" t="str">
        <f>IF(H258="-","-",AVERAGE(H$246:H257,H259:H$259))</f>
        <v>-</v>
      </c>
      <c r="J258" s="40" t="str">
        <f t="shared" si="105"/>
        <v>-</v>
      </c>
      <c r="K258" s="41" t="str">
        <f t="shared" si="102"/>
        <v>-</v>
      </c>
      <c r="L258" s="111"/>
      <c r="M258" s="106"/>
      <c r="N258" s="107"/>
      <c r="O258" s="109"/>
      <c r="P258" s="106"/>
    </row>
    <row r="259" spans="1:16" ht="22.5" x14ac:dyDescent="0.2">
      <c r="A259" s="99"/>
      <c r="B259" s="33" t="s">
        <v>19</v>
      </c>
      <c r="C259" s="33"/>
      <c r="D259" s="42" t="s">
        <v>18</v>
      </c>
      <c r="E259" s="41" t="str">
        <f>IF(D259="-","-",AVERAGE(D$246:D258,D$259:D260))</f>
        <v>-</v>
      </c>
      <c r="F259" s="41" t="str">
        <f t="shared" si="103"/>
        <v>-</v>
      </c>
      <c r="G259" s="41" t="str">
        <f t="shared" si="104"/>
        <v>-</v>
      </c>
      <c r="H259" s="41" t="str">
        <f t="shared" si="100"/>
        <v>-</v>
      </c>
      <c r="I259" s="41" t="str">
        <f>IF(H259="-","-",AVERAGE(H$246:H258,H$259:H260))</f>
        <v>-</v>
      </c>
      <c r="J259" s="40" t="str">
        <f t="shared" si="105"/>
        <v>-</v>
      </c>
      <c r="K259" s="41" t="str">
        <f t="shared" si="102"/>
        <v>-</v>
      </c>
      <c r="L259" s="111"/>
      <c r="M259" s="106"/>
      <c r="N259" s="107"/>
      <c r="O259" s="110"/>
      <c r="P259" s="106"/>
    </row>
    <row r="262" spans="1:16" x14ac:dyDescent="0.2">
      <c r="B262" s="114" t="s">
        <v>58</v>
      </c>
      <c r="C262" s="114"/>
      <c r="D262" s="114"/>
      <c r="E262" s="91">
        <f>P7+P28+P49</f>
        <v>2103019.9266666668</v>
      </c>
      <c r="L262" s="89" t="s">
        <v>36</v>
      </c>
      <c r="M262" s="90">
        <f>SUM(E262:E265)</f>
        <v>3373850.5666666669</v>
      </c>
      <c r="N262" s="68"/>
    </row>
    <row r="263" spans="1:16" x14ac:dyDescent="0.2">
      <c r="B263" s="114" t="s">
        <v>59</v>
      </c>
      <c r="C263" s="114"/>
      <c r="D263" s="114"/>
      <c r="E263" s="91">
        <f>P71+P92+P115</f>
        <v>426043.83</v>
      </c>
      <c r="I263" s="52"/>
      <c r="M263" s="68"/>
    </row>
    <row r="264" spans="1:16" x14ac:dyDescent="0.2">
      <c r="B264" s="114" t="s">
        <v>60</v>
      </c>
      <c r="C264" s="114"/>
      <c r="D264" s="114"/>
      <c r="E264" s="91">
        <f>(P140+P161+P182)</f>
        <v>412167.98000000004</v>
      </c>
      <c r="M264" s="90"/>
    </row>
    <row r="265" spans="1:16" x14ac:dyDescent="0.2">
      <c r="B265" s="114" t="s">
        <v>61</v>
      </c>
      <c r="C265" s="114"/>
      <c r="D265" s="114"/>
      <c r="E265" s="91">
        <f>(P205+P226+P246)</f>
        <v>432618.83</v>
      </c>
    </row>
    <row r="270" spans="1:16" x14ac:dyDescent="0.2">
      <c r="A270" s="100" t="s">
        <v>37</v>
      </c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2"/>
    </row>
    <row r="271" spans="1:16" ht="12.75" customHeight="1" x14ac:dyDescent="0.2">
      <c r="A271" s="103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5"/>
    </row>
    <row r="272" spans="1:16" ht="22.5" x14ac:dyDescent="0.2">
      <c r="A272" s="28" t="s">
        <v>4</v>
      </c>
      <c r="B272" s="28" t="s">
        <v>5</v>
      </c>
      <c r="C272" s="28"/>
      <c r="D272" s="28" t="s">
        <v>6</v>
      </c>
      <c r="E272" s="29" t="s">
        <v>7</v>
      </c>
      <c r="F272" s="30">
        <v>0.25</v>
      </c>
      <c r="G272" s="28" t="s">
        <v>8</v>
      </c>
      <c r="H272" s="28" t="s">
        <v>6</v>
      </c>
      <c r="I272" s="29" t="s">
        <v>7</v>
      </c>
      <c r="J272" s="31">
        <v>0.75</v>
      </c>
      <c r="K272" s="28" t="s">
        <v>8</v>
      </c>
      <c r="L272" s="7" t="s">
        <v>17</v>
      </c>
      <c r="M272" s="32" t="s">
        <v>13</v>
      </c>
      <c r="N272" s="32" t="s">
        <v>14</v>
      </c>
      <c r="O272" s="6" t="s">
        <v>16</v>
      </c>
      <c r="P272" s="28" t="s">
        <v>9</v>
      </c>
    </row>
    <row r="273" spans="1:16" x14ac:dyDescent="0.2">
      <c r="A273" s="50" t="s">
        <v>10</v>
      </c>
      <c r="B273" s="33" t="s">
        <v>18</v>
      </c>
      <c r="C273" s="33"/>
      <c r="D273" s="42" t="s">
        <v>18</v>
      </c>
      <c r="E273" s="41" t="str">
        <f>IF(D273="-","-",AVERAGE(D$247:D$259))</f>
        <v>-</v>
      </c>
      <c r="F273" s="41" t="str">
        <f>IF(D273="-","-",(E273*25%)+E273)</f>
        <v>-</v>
      </c>
      <c r="G273" s="41" t="str">
        <f t="shared" ref="G273:G277" si="106">IF(F273="-","-",IF(D273&gt;F273,"EXCESSIVAMENTE ELEVADO","VÁLIDO"))</f>
        <v>-</v>
      </c>
      <c r="H273" s="41" t="str">
        <f t="shared" ref="H273:H286" si="107">IF(G273="EXCESSIVAMENTE ELEVADO","-",D273)</f>
        <v>-</v>
      </c>
      <c r="I273" s="41" t="str">
        <f>IF(H273="-","-",AVERAGE(H$246:H$259))</f>
        <v>-</v>
      </c>
      <c r="J273" s="40" t="str">
        <f>IF(I273="-","-",I273*75%)</f>
        <v>-</v>
      </c>
      <c r="K273" s="41" t="str">
        <f>IF(J273="-","-",IF(H273&lt;J273,"INEXEQUÍVEL","VÁLIDO"))</f>
        <v>-</v>
      </c>
      <c r="L273" s="111">
        <f>AVERAGEIF(K273:K286,"VÁLIDO",H273:H286)</f>
        <v>3463362.1133333333</v>
      </c>
      <c r="M273" s="106" cm="1">
        <f t="array" ref="M273">MEDIAN(IF(K273:K286="VÁLIDO",H273:H286))</f>
        <v>4044501.38</v>
      </c>
      <c r="N273" s="107" cm="1">
        <f t="array" ref="N273">MIN(IF(K273:K286="VÁLIDO",H273:H286))</f>
        <v>2075532.92</v>
      </c>
      <c r="O273" s="108">
        <f>L273</f>
        <v>3463362.1133333333</v>
      </c>
      <c r="P273" s="106">
        <f>O273</f>
        <v>3463362.1133333333</v>
      </c>
    </row>
    <row r="274" spans="1:16" x14ac:dyDescent="0.2">
      <c r="A274" s="50" t="s">
        <v>11</v>
      </c>
      <c r="B274" s="33" t="s">
        <v>41</v>
      </c>
      <c r="C274" s="33">
        <v>326</v>
      </c>
      <c r="D274" s="42">
        <v>2075532.92</v>
      </c>
      <c r="E274" s="41">
        <f>IF(D274="-","-",AVERAGE(D$273:D273,D275:D$286))</f>
        <v>4292337.3942857143</v>
      </c>
      <c r="F274" s="41">
        <f>IF(D274="-","-",(E274*25%)+E274)</f>
        <v>5365421.7428571433</v>
      </c>
      <c r="G274" s="41" t="str">
        <f t="shared" si="106"/>
        <v>VÁLIDO</v>
      </c>
      <c r="H274" s="41">
        <f t="shared" si="107"/>
        <v>2075532.92</v>
      </c>
      <c r="I274" s="41">
        <f>IF(H274="-","-",AVERAGE(H$273:H273,H275:H$286))</f>
        <v>3740927.9519999996</v>
      </c>
      <c r="J274" s="40">
        <f t="shared" ref="J274:J279" si="108">IF(I274="-","-",I274*75%)</f>
        <v>2805695.9639999997</v>
      </c>
      <c r="K274" s="41" t="s">
        <v>40</v>
      </c>
      <c r="L274" s="111"/>
      <c r="M274" s="106"/>
      <c r="N274" s="107"/>
      <c r="O274" s="109"/>
      <c r="P274" s="106"/>
    </row>
    <row r="275" spans="1:16" ht="38.25" x14ac:dyDescent="0.2">
      <c r="A275" s="50" t="s">
        <v>11</v>
      </c>
      <c r="B275" s="33" t="s">
        <v>38</v>
      </c>
      <c r="C275" s="33">
        <v>377</v>
      </c>
      <c r="D275" s="42">
        <v>6099000</v>
      </c>
      <c r="E275" s="41">
        <f>IF(D275="-","-",AVERAGE(D$273:D274,D276:D$286))</f>
        <v>3717556.3828571429</v>
      </c>
      <c r="F275" s="41">
        <f t="shared" ref="F275:F286" si="109">IF(D275="-","-",(E275*25%)+E275)</f>
        <v>4646945.4785714289</v>
      </c>
      <c r="G275" s="41" t="str">
        <f t="shared" si="106"/>
        <v>EXCESSIVAMENTE ELEVADO</v>
      </c>
      <c r="H275" s="41" t="str">
        <f t="shared" si="107"/>
        <v>-</v>
      </c>
      <c r="I275" s="41" t="str">
        <f>IF(H275="-","-",AVERAGE(H$273:H274,H276:H$286))</f>
        <v>-</v>
      </c>
      <c r="J275" s="40" t="str">
        <f t="shared" si="108"/>
        <v>-</v>
      </c>
      <c r="K275" s="41" t="str">
        <f t="shared" ref="K275:K286" si="110">IF(J275="-","-",IF(H275&lt;J275,"INEXEQUÍVEL","VÁLIDO"))</f>
        <v>-</v>
      </c>
      <c r="L275" s="111"/>
      <c r="M275" s="106"/>
      <c r="N275" s="107"/>
      <c r="O275" s="109"/>
      <c r="P275" s="106"/>
    </row>
    <row r="276" spans="1:16" ht="22.5" x14ac:dyDescent="0.2">
      <c r="A276" s="50" t="s">
        <v>11</v>
      </c>
      <c r="B276" s="33" t="s">
        <v>39</v>
      </c>
      <c r="C276" s="33">
        <v>219</v>
      </c>
      <c r="D276" s="42">
        <f>11499000/5</f>
        <v>2299800</v>
      </c>
      <c r="E276" s="41">
        <f>IF(D276="-","-",AVERAGE(D$273:D275,D277:D$286))</f>
        <v>4260299.24</v>
      </c>
      <c r="F276" s="41">
        <f t="shared" si="109"/>
        <v>5325374.0500000007</v>
      </c>
      <c r="G276" s="41" t="str">
        <f t="shared" si="106"/>
        <v>VÁLIDO</v>
      </c>
      <c r="H276" s="41">
        <f t="shared" si="107"/>
        <v>2299800</v>
      </c>
      <c r="I276" s="41">
        <f>IF(H276="-","-",AVERAGE(H$273:H275,H277:H$286))</f>
        <v>3696074.5359999998</v>
      </c>
      <c r="J276" s="40">
        <f t="shared" si="108"/>
        <v>2772055.9019999998</v>
      </c>
      <c r="K276" s="41" t="s">
        <v>40</v>
      </c>
      <c r="L276" s="111"/>
      <c r="M276" s="106"/>
      <c r="N276" s="107"/>
      <c r="O276" s="109"/>
      <c r="P276" s="106"/>
    </row>
    <row r="277" spans="1:16" x14ac:dyDescent="0.2">
      <c r="A277" s="37" t="s">
        <v>12</v>
      </c>
      <c r="B277" s="33"/>
      <c r="C277" s="33"/>
      <c r="D277" s="42" t="s">
        <v>18</v>
      </c>
      <c r="E277" s="41" t="str">
        <f>IF(D277="-","-",AVERAGE(D$273:D276,D278:D$286))</f>
        <v>-</v>
      </c>
      <c r="F277" s="41" t="str">
        <f t="shared" si="109"/>
        <v>-</v>
      </c>
      <c r="G277" s="41" t="str">
        <f t="shared" si="106"/>
        <v>-</v>
      </c>
      <c r="H277" s="41" t="str">
        <f t="shared" si="107"/>
        <v>-</v>
      </c>
      <c r="I277" s="41" t="str">
        <f>IF(H277="-","-",AVERAGE(H$273:H276,H278:H$286))</f>
        <v>-</v>
      </c>
      <c r="J277" s="40" t="str">
        <f t="shared" si="108"/>
        <v>-</v>
      </c>
      <c r="K277" s="41" t="str">
        <f t="shared" si="110"/>
        <v>-</v>
      </c>
      <c r="L277" s="111"/>
      <c r="M277" s="106"/>
      <c r="N277" s="107"/>
      <c r="O277" s="109"/>
      <c r="P277" s="106"/>
    </row>
    <row r="278" spans="1:16" ht="22.5" x14ac:dyDescent="0.2">
      <c r="A278" s="99" t="s">
        <v>15</v>
      </c>
      <c r="B278" s="33" t="s">
        <v>31</v>
      </c>
      <c r="C278" s="33">
        <v>173</v>
      </c>
      <c r="D278" s="42">
        <v>4030902.76</v>
      </c>
      <c r="E278" s="41">
        <f>IF(D278="-","-",AVERAGE(D$273:D277,D279:D$286))</f>
        <v>4012998.845714286</v>
      </c>
      <c r="F278" s="41">
        <f t="shared" si="109"/>
        <v>5016248.5571428575</v>
      </c>
      <c r="G278" s="41" t="str">
        <f>IF(F278="-","-",IF(D278&gt;F278,"EXCESSIVAMENTE ELEVADO","VÁLIDO"))</f>
        <v>VÁLIDO</v>
      </c>
      <c r="H278" s="41">
        <f>IF(G278="EXCESSIVAMENTE ELEVADO","-",D278)</f>
        <v>4030902.76</v>
      </c>
      <c r="I278" s="41">
        <f>IF(H278="-","-",AVERAGE(H$273:H277,H279:H$286))</f>
        <v>3349853.9840000002</v>
      </c>
      <c r="J278" s="40">
        <f t="shared" si="108"/>
        <v>2512390.4879999999</v>
      </c>
      <c r="K278" s="41" t="str">
        <f t="shared" si="110"/>
        <v>VÁLIDO</v>
      </c>
      <c r="L278" s="111"/>
      <c r="M278" s="106"/>
      <c r="N278" s="107"/>
      <c r="O278" s="109"/>
      <c r="P278" s="106"/>
    </row>
    <row r="279" spans="1:16" ht="22.5" x14ac:dyDescent="0.2">
      <c r="A279" s="99"/>
      <c r="B279" s="33" t="s">
        <v>32</v>
      </c>
      <c r="C279" s="33">
        <v>180</v>
      </c>
      <c r="D279" s="42">
        <v>4165600</v>
      </c>
      <c r="E279" s="41">
        <f>IF(D279="-","-",AVERAGE(D$273:D278,D280:D$286))</f>
        <v>3993756.3828571429</v>
      </c>
      <c r="F279" s="41">
        <f t="shared" si="109"/>
        <v>4992195.4785714289</v>
      </c>
      <c r="G279" s="41" t="str">
        <f t="shared" ref="G279:G286" si="111">IF(F279="-","-",IF(D279&gt;F279,"EXCESSIVAMENTE ELEVADO","VÁLIDO"))</f>
        <v>VÁLIDO</v>
      </c>
      <c r="H279" s="41">
        <f t="shared" si="107"/>
        <v>4165600</v>
      </c>
      <c r="I279" s="41">
        <f>IF(H279="-","-",AVERAGE(H$273:H278,H280:H$286))</f>
        <v>3322914.5359999998</v>
      </c>
      <c r="J279" s="40">
        <f t="shared" si="108"/>
        <v>2492185.9019999998</v>
      </c>
      <c r="K279" s="41" t="str">
        <f t="shared" si="110"/>
        <v>VÁLIDO</v>
      </c>
      <c r="L279" s="111"/>
      <c r="M279" s="106"/>
      <c r="N279" s="107"/>
      <c r="O279" s="109"/>
      <c r="P279" s="106"/>
    </row>
    <row r="280" spans="1:16" ht="22.5" x14ac:dyDescent="0.2">
      <c r="A280" s="99"/>
      <c r="B280" s="33" t="s">
        <v>34</v>
      </c>
      <c r="C280" s="33">
        <v>186</v>
      </c>
      <c r="D280" s="42">
        <v>4058100</v>
      </c>
      <c r="E280" s="41">
        <f>IF(D280="-","-",AVERAGE(D$273:D279,D281:D$286))</f>
        <v>4009113.5257142857</v>
      </c>
      <c r="F280" s="41">
        <f t="shared" si="109"/>
        <v>5011391.9071428571</v>
      </c>
      <c r="G280" s="41" t="str">
        <f t="shared" si="111"/>
        <v>VÁLIDO</v>
      </c>
      <c r="H280" s="41">
        <f t="shared" si="107"/>
        <v>4058100</v>
      </c>
      <c r="I280" s="41">
        <f>IF(H280="-","-",AVERAGE(H$273:H279,H281:H$286))</f>
        <v>3344414.5359999998</v>
      </c>
      <c r="J280" s="40">
        <f>IF(I280="-","-",I280*75%)</f>
        <v>2508310.9019999998</v>
      </c>
      <c r="K280" s="41" t="str">
        <f t="shared" si="110"/>
        <v>VÁLIDO</v>
      </c>
      <c r="L280" s="111"/>
      <c r="M280" s="106"/>
      <c r="N280" s="107"/>
      <c r="O280" s="109"/>
      <c r="P280" s="106"/>
    </row>
    <row r="281" spans="1:16" ht="22.5" x14ac:dyDescent="0.2">
      <c r="A281" s="99"/>
      <c r="B281" s="33" t="s">
        <v>33</v>
      </c>
      <c r="C281" s="33">
        <v>192</v>
      </c>
      <c r="D281" s="42">
        <v>4150237</v>
      </c>
      <c r="E281" s="41">
        <f>IF(D281="-","-",AVERAGE(D$273:D280,D282:D$286))</f>
        <v>3995951.097142857</v>
      </c>
      <c r="F281" s="41">
        <f t="shared" si="109"/>
        <v>4994938.8714285716</v>
      </c>
      <c r="G281" s="41" t="str">
        <f t="shared" si="111"/>
        <v>VÁLIDO</v>
      </c>
      <c r="H281" s="41">
        <f t="shared" si="107"/>
        <v>4150237</v>
      </c>
      <c r="I281" s="41">
        <f>IF(H281="-","-",AVERAGE(H$273:H280,H282:H$286))</f>
        <v>3325987.1359999999</v>
      </c>
      <c r="J281" s="40">
        <f t="shared" ref="J281:J286" si="112">IF(I281="-","-",I281*75%)</f>
        <v>2494490.352</v>
      </c>
      <c r="K281" s="41" t="str">
        <f t="shared" si="110"/>
        <v>VÁLIDO</v>
      </c>
      <c r="L281" s="111"/>
      <c r="M281" s="106"/>
      <c r="N281" s="107"/>
      <c r="O281" s="109"/>
      <c r="P281" s="106"/>
    </row>
    <row r="282" spans="1:16" ht="38.25" x14ac:dyDescent="0.2">
      <c r="A282" s="99"/>
      <c r="B282" s="33" t="s">
        <v>35</v>
      </c>
      <c r="C282" s="33">
        <v>203</v>
      </c>
      <c r="D282" s="42">
        <v>5242722</v>
      </c>
      <c r="E282" s="41">
        <f>IF(D282="-","-",AVERAGE(D$273:D281,D283:D$286))</f>
        <v>3839881.8114285716</v>
      </c>
      <c r="F282" s="41">
        <f t="shared" si="109"/>
        <v>4799852.2642857144</v>
      </c>
      <c r="G282" s="41" t="str">
        <f t="shared" si="111"/>
        <v>EXCESSIVAMENTE ELEVADO</v>
      </c>
      <c r="H282" s="41" t="str">
        <f t="shared" si="107"/>
        <v>-</v>
      </c>
      <c r="I282" s="41" t="str">
        <f>IF(H282="-","-",AVERAGE(H$273:H281,H283:H$286))</f>
        <v>-</v>
      </c>
      <c r="J282" s="40" t="str">
        <f t="shared" si="112"/>
        <v>-</v>
      </c>
      <c r="K282" s="41" t="str">
        <f t="shared" si="110"/>
        <v>-</v>
      </c>
      <c r="L282" s="111"/>
      <c r="M282" s="106"/>
      <c r="N282" s="107"/>
      <c r="O282" s="109"/>
      <c r="P282" s="106"/>
    </row>
    <row r="283" spans="1:16" ht="22.5" x14ac:dyDescent="0.2">
      <c r="A283" s="99"/>
      <c r="B283" s="33" t="s">
        <v>19</v>
      </c>
      <c r="C283" s="33"/>
      <c r="D283" s="42" t="s">
        <v>18</v>
      </c>
      <c r="E283" s="41" t="str">
        <f>IF(D283="-","-",AVERAGE(D$273:D282,D284:D$286))</f>
        <v>-</v>
      </c>
      <c r="F283" s="41" t="str">
        <f t="shared" si="109"/>
        <v>-</v>
      </c>
      <c r="G283" s="41" t="str">
        <f t="shared" si="111"/>
        <v>-</v>
      </c>
      <c r="H283" s="41" t="str">
        <f t="shared" si="107"/>
        <v>-</v>
      </c>
      <c r="I283" s="41" t="str">
        <f>IF(H283="-","-",AVERAGE(H$273:H282,H284:H$286))</f>
        <v>-</v>
      </c>
      <c r="J283" s="40" t="str">
        <f t="shared" si="112"/>
        <v>-</v>
      </c>
      <c r="K283" s="41" t="str">
        <f t="shared" si="110"/>
        <v>-</v>
      </c>
      <c r="L283" s="111"/>
      <c r="M283" s="106"/>
      <c r="N283" s="107"/>
      <c r="O283" s="109"/>
      <c r="P283" s="106"/>
    </row>
    <row r="284" spans="1:16" ht="22.5" x14ac:dyDescent="0.2">
      <c r="A284" s="99"/>
      <c r="B284" s="33" t="s">
        <v>19</v>
      </c>
      <c r="C284" s="33"/>
      <c r="D284" s="42" t="s">
        <v>18</v>
      </c>
      <c r="E284" s="41" t="str">
        <f>IF(D284="-","-",AVERAGE(D$273:D283,D285:D$286))</f>
        <v>-</v>
      </c>
      <c r="F284" s="41" t="str">
        <f t="shared" si="109"/>
        <v>-</v>
      </c>
      <c r="G284" s="41" t="str">
        <f t="shared" si="111"/>
        <v>-</v>
      </c>
      <c r="H284" s="41" t="str">
        <f t="shared" si="107"/>
        <v>-</v>
      </c>
      <c r="I284" s="41" t="str">
        <f>IF(H284="-","-",AVERAGE(H$273:H283,H285:H$286))</f>
        <v>-</v>
      </c>
      <c r="J284" s="40" t="str">
        <f t="shared" si="112"/>
        <v>-</v>
      </c>
      <c r="K284" s="41" t="str">
        <f t="shared" si="110"/>
        <v>-</v>
      </c>
      <c r="L284" s="111"/>
      <c r="M284" s="106"/>
      <c r="N284" s="107"/>
      <c r="O284" s="109"/>
      <c r="P284" s="106"/>
    </row>
    <row r="285" spans="1:16" ht="22.5" x14ac:dyDescent="0.2">
      <c r="A285" s="99"/>
      <c r="B285" s="33" t="s">
        <v>19</v>
      </c>
      <c r="C285" s="33"/>
      <c r="D285" s="42" t="s">
        <v>18</v>
      </c>
      <c r="E285" s="41" t="str">
        <f>IF(D285="-","-",AVERAGE(D$273:D284,D286:D$286))</f>
        <v>-</v>
      </c>
      <c r="F285" s="41" t="str">
        <f t="shared" si="109"/>
        <v>-</v>
      </c>
      <c r="G285" s="41" t="str">
        <f t="shared" si="111"/>
        <v>-</v>
      </c>
      <c r="H285" s="41" t="str">
        <f t="shared" si="107"/>
        <v>-</v>
      </c>
      <c r="I285" s="41" t="str">
        <f>IF(H285="-","-",AVERAGE(H$273:H284,H286:H$286))</f>
        <v>-</v>
      </c>
      <c r="J285" s="40" t="str">
        <f t="shared" si="112"/>
        <v>-</v>
      </c>
      <c r="K285" s="41" t="str">
        <f t="shared" si="110"/>
        <v>-</v>
      </c>
      <c r="L285" s="111"/>
      <c r="M285" s="106"/>
      <c r="N285" s="107"/>
      <c r="O285" s="109"/>
      <c r="P285" s="106"/>
    </row>
    <row r="286" spans="1:16" ht="22.5" x14ac:dyDescent="0.2">
      <c r="A286" s="99"/>
      <c r="B286" s="33" t="s">
        <v>19</v>
      </c>
      <c r="C286" s="33"/>
      <c r="D286" s="42" t="s">
        <v>18</v>
      </c>
      <c r="E286" s="41" t="str">
        <f>IF(D286="-","-",AVERAGE(D$273:D285,D$286:D287))</f>
        <v>-</v>
      </c>
      <c r="F286" s="41" t="str">
        <f t="shared" si="109"/>
        <v>-</v>
      </c>
      <c r="G286" s="41" t="str">
        <f t="shared" si="111"/>
        <v>-</v>
      </c>
      <c r="H286" s="41" t="str">
        <f t="shared" si="107"/>
        <v>-</v>
      </c>
      <c r="I286" s="41" t="str">
        <f>IF(H286="-","-",AVERAGE(H$273:H285,H$286:H287))</f>
        <v>-</v>
      </c>
      <c r="J286" s="40" t="str">
        <f t="shared" si="112"/>
        <v>-</v>
      </c>
      <c r="K286" s="41" t="str">
        <f t="shared" si="110"/>
        <v>-</v>
      </c>
      <c r="L286" s="111"/>
      <c r="M286" s="106"/>
      <c r="N286" s="107"/>
      <c r="O286" s="110"/>
      <c r="P286" s="106"/>
    </row>
    <row r="288" spans="1:16" x14ac:dyDescent="0.2">
      <c r="A288" s="121" t="s">
        <v>42</v>
      </c>
      <c r="B288" s="121"/>
      <c r="C288" s="121"/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</row>
  </sheetData>
  <sheetProtection formatCells="0" formatColumns="0" formatRows="0" insertColumns="0" insertRows="0" insertHyperlinks="0" deleteColumns="0" deleteRows="0" sort="0" autoFilter="0" pivotTables="0"/>
  <mergeCells count="116">
    <mergeCell ref="A288:P288"/>
    <mergeCell ref="E46:P46"/>
    <mergeCell ref="E47:P47"/>
    <mergeCell ref="O49:O62"/>
    <mergeCell ref="P49:P62"/>
    <mergeCell ref="O28:O41"/>
    <mergeCell ref="P28:P41"/>
    <mergeCell ref="M7:M20"/>
    <mergeCell ref="A43:B43"/>
    <mergeCell ref="A33:A41"/>
    <mergeCell ref="E25:P25"/>
    <mergeCell ref="A44:B44"/>
    <mergeCell ref="L28:L41"/>
    <mergeCell ref="M28:M41"/>
    <mergeCell ref="N28:N41"/>
    <mergeCell ref="A54:A62"/>
    <mergeCell ref="L49:L62"/>
    <mergeCell ref="M49:M62"/>
    <mergeCell ref="N49:N62"/>
    <mergeCell ref="A67:P67"/>
    <mergeCell ref="E68:P68"/>
    <mergeCell ref="E69:P69"/>
    <mergeCell ref="E112:P112"/>
    <mergeCell ref="E113:P113"/>
    <mergeCell ref="A1:P1"/>
    <mergeCell ref="A2:P2"/>
    <mergeCell ref="L7:L20"/>
    <mergeCell ref="E26:P26"/>
    <mergeCell ref="E4:P4"/>
    <mergeCell ref="E5:P5"/>
    <mergeCell ref="P7:P20"/>
    <mergeCell ref="N7:N20"/>
    <mergeCell ref="O7:O20"/>
    <mergeCell ref="A12:A20"/>
    <mergeCell ref="A3:P3"/>
    <mergeCell ref="A76:A84"/>
    <mergeCell ref="E89:P89"/>
    <mergeCell ref="E90:P90"/>
    <mergeCell ref="L92:L105"/>
    <mergeCell ref="M92:M105"/>
    <mergeCell ref="N92:N105"/>
    <mergeCell ref="O92:O105"/>
    <mergeCell ref="P92:P105"/>
    <mergeCell ref="A97:A105"/>
    <mergeCell ref="L71:L84"/>
    <mergeCell ref="M71:M84"/>
    <mergeCell ref="N71:N84"/>
    <mergeCell ref="O71:O84"/>
    <mergeCell ref="P71:P84"/>
    <mergeCell ref="A210:A218"/>
    <mergeCell ref="E158:P158"/>
    <mergeCell ref="E159:P159"/>
    <mergeCell ref="L161:L174"/>
    <mergeCell ref="M161:M174"/>
    <mergeCell ref="N161:N174"/>
    <mergeCell ref="O161:O174"/>
    <mergeCell ref="P161:P174"/>
    <mergeCell ref="A120:A128"/>
    <mergeCell ref="A136:P136"/>
    <mergeCell ref="E137:P137"/>
    <mergeCell ref="E138:P138"/>
    <mergeCell ref="L140:L153"/>
    <mergeCell ref="M140:M153"/>
    <mergeCell ref="N140:N153"/>
    <mergeCell ref="O140:O153"/>
    <mergeCell ref="P140:P153"/>
    <mergeCell ref="A145:A153"/>
    <mergeCell ref="A166:A174"/>
    <mergeCell ref="L115:L128"/>
    <mergeCell ref="M115:M128"/>
    <mergeCell ref="N115:N128"/>
    <mergeCell ref="O115:O128"/>
    <mergeCell ref="P115:P128"/>
    <mergeCell ref="E224:P224"/>
    <mergeCell ref="L226:L239"/>
    <mergeCell ref="M226:M239"/>
    <mergeCell ref="N226:N239"/>
    <mergeCell ref="O226:O239"/>
    <mergeCell ref="P226:P239"/>
    <mergeCell ref="A231:A239"/>
    <mergeCell ref="E179:P179"/>
    <mergeCell ref="E180:P180"/>
    <mergeCell ref="L182:L195"/>
    <mergeCell ref="M182:M195"/>
    <mergeCell ref="N182:N195"/>
    <mergeCell ref="O182:O195"/>
    <mergeCell ref="P182:P195"/>
    <mergeCell ref="A187:A195"/>
    <mergeCell ref="E223:P223"/>
    <mergeCell ref="A201:P201"/>
    <mergeCell ref="E202:P202"/>
    <mergeCell ref="E203:P203"/>
    <mergeCell ref="L205:L218"/>
    <mergeCell ref="M205:M218"/>
    <mergeCell ref="N205:N218"/>
    <mergeCell ref="O205:O218"/>
    <mergeCell ref="P205:P218"/>
    <mergeCell ref="A278:A286"/>
    <mergeCell ref="A270:P271"/>
    <mergeCell ref="M273:M286"/>
    <mergeCell ref="N273:N286"/>
    <mergeCell ref="O273:O286"/>
    <mergeCell ref="P273:P286"/>
    <mergeCell ref="L273:L286"/>
    <mergeCell ref="E243:P243"/>
    <mergeCell ref="E244:P244"/>
    <mergeCell ref="L246:L259"/>
    <mergeCell ref="M246:M259"/>
    <mergeCell ref="N246:N259"/>
    <mergeCell ref="O246:O259"/>
    <mergeCell ref="P246:P259"/>
    <mergeCell ref="A251:A259"/>
    <mergeCell ref="B262:D262"/>
    <mergeCell ref="B263:D263"/>
    <mergeCell ref="B264:D264"/>
    <mergeCell ref="B265:D265"/>
  </mergeCells>
  <phoneticPr fontId="26" type="noConversion"/>
  <pageMargins left="0.23622047244094491" right="0.23622047244094491" top="0.94488188976377963" bottom="0.74803149606299213" header="0.31496062992125984" footer="0.31496062992125984"/>
  <pageSetup paperSize="9" scale="58" fitToHeight="0" orientation="landscape" r:id="rId1"/>
  <headerFooter>
    <oddHeader>&amp;L&amp;G</oddHeader>
    <oddFooter>&amp;R&amp;G</oddFooter>
  </headerFooter>
  <colBreaks count="1" manualBreakCount="1">
    <brk id="16" max="1048575" man="1"/>
  </col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0611-61F4-472B-97F2-3D8C44510865}">
  <sheetPr>
    <pageSetUpPr fitToPage="1"/>
  </sheetPr>
  <dimension ref="A7:F99"/>
  <sheetViews>
    <sheetView topLeftCell="A64" zoomScaleNormal="100" workbookViewId="0">
      <selection activeCell="D40" sqref="D40:D43"/>
    </sheetView>
  </sheetViews>
  <sheetFormatPr defaultRowHeight="12.75" x14ac:dyDescent="0.2"/>
  <cols>
    <col min="3" max="3" width="35.140625" bestFit="1" customWidth="1"/>
    <col min="4" max="4" width="14.28515625" bestFit="1" customWidth="1"/>
    <col min="5" max="5" width="14" bestFit="1" customWidth="1"/>
    <col min="6" max="6" width="17.28515625" customWidth="1"/>
  </cols>
  <sheetData>
    <row r="7" spans="1:6" ht="15.75" customHeight="1" x14ac:dyDescent="0.2">
      <c r="A7" s="142" t="s">
        <v>96</v>
      </c>
      <c r="B7" s="142"/>
      <c r="C7" s="142"/>
      <c r="D7" s="142"/>
      <c r="E7" s="142"/>
      <c r="F7" s="142"/>
    </row>
    <row r="9" spans="1:6" x14ac:dyDescent="0.2">
      <c r="B9" s="146" t="s">
        <v>64</v>
      </c>
      <c r="C9" s="147"/>
      <c r="D9" s="147"/>
      <c r="E9" s="148"/>
    </row>
    <row r="10" spans="1:6" ht="22.5" customHeight="1" x14ac:dyDescent="0.2">
      <c r="B10" s="135" t="s">
        <v>43</v>
      </c>
      <c r="C10" s="54" t="s">
        <v>44</v>
      </c>
      <c r="D10" s="58">
        <v>1800</v>
      </c>
      <c r="E10" s="54"/>
    </row>
    <row r="11" spans="1:6" x14ac:dyDescent="0.2">
      <c r="B11" s="135"/>
      <c r="C11" s="54" t="s">
        <v>45</v>
      </c>
      <c r="D11" s="58">
        <v>5508</v>
      </c>
      <c r="E11" s="54"/>
    </row>
    <row r="12" spans="1:6" x14ac:dyDescent="0.2">
      <c r="B12" s="135"/>
      <c r="C12" s="54" t="s">
        <v>46</v>
      </c>
      <c r="D12" s="58">
        <v>1720.19</v>
      </c>
      <c r="E12" s="54"/>
    </row>
    <row r="13" spans="1:6" x14ac:dyDescent="0.2">
      <c r="B13" s="135"/>
      <c r="C13" s="54" t="s">
        <v>47</v>
      </c>
      <c r="D13" s="58">
        <v>3600</v>
      </c>
      <c r="E13" s="54"/>
    </row>
    <row r="14" spans="1:6" x14ac:dyDescent="0.2">
      <c r="B14" s="135"/>
      <c r="C14" s="54" t="s">
        <v>48</v>
      </c>
      <c r="D14" s="58">
        <v>2541.87</v>
      </c>
      <c r="E14" s="54"/>
    </row>
    <row r="15" spans="1:6" x14ac:dyDescent="0.2">
      <c r="B15" s="135"/>
      <c r="C15" s="54" t="s">
        <v>49</v>
      </c>
      <c r="D15" s="58">
        <v>2748.58</v>
      </c>
      <c r="E15" s="55"/>
    </row>
    <row r="16" spans="1:6" x14ac:dyDescent="0.2">
      <c r="B16" s="135"/>
      <c r="C16" s="54" t="s">
        <v>50</v>
      </c>
      <c r="D16" s="58">
        <v>5400</v>
      </c>
      <c r="E16" s="55" t="s">
        <v>74</v>
      </c>
    </row>
    <row r="17" spans="2:6" x14ac:dyDescent="0.2">
      <c r="B17" s="135"/>
      <c r="C17" s="59" t="s">
        <v>76</v>
      </c>
      <c r="D17" s="54"/>
      <c r="E17" s="55" t="s">
        <v>66</v>
      </c>
      <c r="F17" s="95" t="s">
        <v>109</v>
      </c>
    </row>
    <row r="18" spans="2:6" x14ac:dyDescent="0.2">
      <c r="B18" s="135"/>
      <c r="C18" s="54" t="s">
        <v>51</v>
      </c>
      <c r="D18" s="58">
        <v>2880</v>
      </c>
      <c r="E18" s="55" t="s">
        <v>75</v>
      </c>
    </row>
    <row r="19" spans="2:6" x14ac:dyDescent="0.2">
      <c r="B19" s="135"/>
      <c r="C19" s="54" t="s">
        <v>52</v>
      </c>
      <c r="D19" s="58">
        <v>8712</v>
      </c>
      <c r="E19" s="54"/>
    </row>
    <row r="20" spans="2:6" x14ac:dyDescent="0.2">
      <c r="B20" s="135"/>
      <c r="C20" s="54" t="s">
        <v>53</v>
      </c>
      <c r="D20" s="58">
        <v>2520</v>
      </c>
      <c r="E20" s="54"/>
    </row>
    <row r="21" spans="2:6" x14ac:dyDescent="0.2">
      <c r="B21" s="135"/>
      <c r="C21" s="54" t="s">
        <v>54</v>
      </c>
      <c r="D21" s="58">
        <v>1800</v>
      </c>
      <c r="E21" s="54"/>
    </row>
    <row r="22" spans="2:6" x14ac:dyDescent="0.2">
      <c r="B22" s="135"/>
      <c r="C22" s="54" t="s">
        <v>55</v>
      </c>
      <c r="D22" s="58">
        <v>2647.86</v>
      </c>
      <c r="E22" s="54"/>
    </row>
    <row r="23" spans="2:6" x14ac:dyDescent="0.2">
      <c r="B23" s="135"/>
      <c r="C23" s="54" t="s">
        <v>56</v>
      </c>
      <c r="D23" s="58">
        <v>2520</v>
      </c>
      <c r="E23" s="54"/>
    </row>
    <row r="24" spans="2:6" x14ac:dyDescent="0.2">
      <c r="B24" s="135"/>
      <c r="C24" s="54" t="s">
        <v>57</v>
      </c>
      <c r="D24" s="58">
        <v>2520</v>
      </c>
      <c r="E24" s="54"/>
    </row>
    <row r="25" spans="2:6" x14ac:dyDescent="0.2">
      <c r="B25" s="54"/>
      <c r="C25" s="54"/>
      <c r="D25" s="60">
        <f>SUM(D10:D24)</f>
        <v>46918.5</v>
      </c>
      <c r="E25" s="54"/>
    </row>
    <row r="26" spans="2:6" x14ac:dyDescent="0.2">
      <c r="B26" s="54"/>
      <c r="C26" s="58"/>
      <c r="D26" s="54"/>
      <c r="E26" s="54"/>
    </row>
    <row r="27" spans="2:6" ht="24.75" customHeight="1" x14ac:dyDescent="0.2">
      <c r="B27" s="130" t="s">
        <v>73</v>
      </c>
      <c r="C27" s="130"/>
      <c r="D27" s="130"/>
      <c r="E27" s="130"/>
    </row>
    <row r="28" spans="2:6" ht="12.75" customHeight="1" x14ac:dyDescent="0.2">
      <c r="B28" s="57"/>
      <c r="C28" s="57"/>
      <c r="D28" s="57"/>
      <c r="E28" s="57"/>
    </row>
    <row r="29" spans="2:6" x14ac:dyDescent="0.2">
      <c r="B29" s="143" t="s">
        <v>26</v>
      </c>
      <c r="C29" s="144"/>
      <c r="D29" s="144"/>
      <c r="E29" s="151"/>
    </row>
    <row r="30" spans="2:6" x14ac:dyDescent="0.2">
      <c r="B30" s="145" t="s">
        <v>43</v>
      </c>
      <c r="C30" s="149" t="s">
        <v>69</v>
      </c>
      <c r="D30" s="150">
        <v>176.4</v>
      </c>
      <c r="E30" s="55" t="s">
        <v>63</v>
      </c>
    </row>
    <row r="31" spans="2:6" x14ac:dyDescent="0.2">
      <c r="B31" s="145"/>
      <c r="C31" s="149"/>
      <c r="D31" s="150"/>
      <c r="E31" s="55" t="s">
        <v>70</v>
      </c>
      <c r="F31" s="95" t="s">
        <v>109</v>
      </c>
    </row>
    <row r="32" spans="2:6" x14ac:dyDescent="0.2">
      <c r="B32" s="145"/>
      <c r="C32" s="149"/>
      <c r="D32" s="150"/>
      <c r="E32" s="55" t="s">
        <v>67</v>
      </c>
    </row>
    <row r="33" spans="2:6" x14ac:dyDescent="0.2">
      <c r="B33" s="145"/>
      <c r="C33" s="149"/>
      <c r="D33" s="150"/>
      <c r="E33" s="55" t="s">
        <v>71</v>
      </c>
    </row>
    <row r="34" spans="2:6" x14ac:dyDescent="0.2">
      <c r="B34" s="145"/>
      <c r="C34" s="149"/>
      <c r="D34" s="150"/>
      <c r="E34" s="55"/>
    </row>
    <row r="35" spans="2:6" x14ac:dyDescent="0.2">
      <c r="B35" s="61"/>
      <c r="C35" s="59"/>
      <c r="D35" s="59"/>
      <c r="E35" s="59"/>
    </row>
    <row r="36" spans="2:6" x14ac:dyDescent="0.2">
      <c r="B36" s="130" t="s">
        <v>72</v>
      </c>
      <c r="C36" s="130"/>
      <c r="D36" s="130"/>
      <c r="E36" s="130"/>
    </row>
    <row r="37" spans="2:6" x14ac:dyDescent="0.2">
      <c r="B37" s="96"/>
      <c r="C37" s="96"/>
      <c r="D37" s="96"/>
      <c r="E37" s="96"/>
    </row>
    <row r="38" spans="2:6" x14ac:dyDescent="0.2">
      <c r="B38" s="53"/>
    </row>
    <row r="39" spans="2:6" x14ac:dyDescent="0.2">
      <c r="B39" s="145" t="s">
        <v>78</v>
      </c>
      <c r="C39" s="145"/>
      <c r="D39" s="145"/>
      <c r="E39" s="145"/>
    </row>
    <row r="40" spans="2:6" ht="12.75" customHeight="1" x14ac:dyDescent="0.2">
      <c r="B40" s="145" t="s">
        <v>43</v>
      </c>
      <c r="C40" s="152" t="s">
        <v>77</v>
      </c>
      <c r="D40" s="154">
        <v>252000</v>
      </c>
      <c r="E40" s="55" t="s">
        <v>62</v>
      </c>
    </row>
    <row r="41" spans="2:6" x14ac:dyDescent="0.2">
      <c r="B41" s="145"/>
      <c r="C41" s="153"/>
      <c r="D41" s="154"/>
      <c r="E41" s="55" t="s">
        <v>65</v>
      </c>
      <c r="F41" s="95" t="s">
        <v>109</v>
      </c>
    </row>
    <row r="42" spans="2:6" ht="12" customHeight="1" x14ac:dyDescent="0.2">
      <c r="B42" s="145"/>
      <c r="C42" s="153"/>
      <c r="D42" s="154"/>
      <c r="E42" s="55" t="s">
        <v>68</v>
      </c>
    </row>
    <row r="43" spans="2:6" x14ac:dyDescent="0.2">
      <c r="B43" s="145"/>
      <c r="C43" s="153"/>
      <c r="D43" s="154"/>
      <c r="E43" s="55"/>
    </row>
    <row r="44" spans="2:6" x14ac:dyDescent="0.2">
      <c r="B44" s="56"/>
      <c r="C44" s="54"/>
      <c r="D44" s="54"/>
      <c r="E44" s="54"/>
    </row>
    <row r="45" spans="2:6" ht="26.25" customHeight="1" x14ac:dyDescent="0.2">
      <c r="B45" s="130" t="s">
        <v>79</v>
      </c>
      <c r="C45" s="130"/>
      <c r="D45" s="130"/>
      <c r="E45" s="130"/>
    </row>
    <row r="46" spans="2:6" x14ac:dyDescent="0.2">
      <c r="C46" s="51"/>
    </row>
    <row r="47" spans="2:6" x14ac:dyDescent="0.2">
      <c r="B47" s="143" t="s">
        <v>93</v>
      </c>
      <c r="C47" s="144"/>
      <c r="D47" s="144"/>
      <c r="E47" s="92"/>
    </row>
    <row r="48" spans="2:6" ht="25.5" customHeight="1" x14ac:dyDescent="0.2">
      <c r="B48" s="127" t="s">
        <v>102</v>
      </c>
      <c r="C48" s="59" t="s">
        <v>49</v>
      </c>
      <c r="D48" s="64">
        <v>10080</v>
      </c>
      <c r="E48" s="123"/>
      <c r="F48" s="94"/>
    </row>
    <row r="49" spans="2:6" x14ac:dyDescent="0.2">
      <c r="B49" s="128"/>
      <c r="C49" s="59" t="s">
        <v>48</v>
      </c>
      <c r="D49" s="64">
        <v>10498.64</v>
      </c>
      <c r="E49" s="124"/>
      <c r="F49" s="94"/>
    </row>
    <row r="50" spans="2:6" x14ac:dyDescent="0.2">
      <c r="B50" s="128"/>
      <c r="C50" s="63" t="s">
        <v>80</v>
      </c>
      <c r="D50" s="64">
        <v>10322.700000000001</v>
      </c>
      <c r="E50" s="124"/>
      <c r="F50" s="94" t="s">
        <v>106</v>
      </c>
    </row>
    <row r="51" spans="2:6" x14ac:dyDescent="0.2">
      <c r="B51" s="128"/>
      <c r="C51" s="63" t="s">
        <v>81</v>
      </c>
      <c r="D51" s="64">
        <v>10376.799999999999</v>
      </c>
      <c r="E51" s="124"/>
      <c r="F51" s="94" t="s">
        <v>107</v>
      </c>
    </row>
    <row r="52" spans="2:6" x14ac:dyDescent="0.2">
      <c r="B52" s="128"/>
      <c r="C52" s="59" t="s">
        <v>45</v>
      </c>
      <c r="D52" s="64">
        <v>57277.14</v>
      </c>
      <c r="E52" s="124"/>
      <c r="F52" s="94" t="s">
        <v>108</v>
      </c>
    </row>
    <row r="53" spans="2:6" x14ac:dyDescent="0.2">
      <c r="B53" s="128"/>
      <c r="C53" s="59" t="s">
        <v>82</v>
      </c>
      <c r="D53" s="64">
        <v>43104.93</v>
      </c>
      <c r="E53" s="124"/>
      <c r="F53" s="94"/>
    </row>
    <row r="54" spans="2:6" x14ac:dyDescent="0.2">
      <c r="B54" s="128"/>
      <c r="C54" s="59" t="s">
        <v>47</v>
      </c>
      <c r="D54" s="64">
        <v>23577.41</v>
      </c>
      <c r="E54" s="124"/>
      <c r="F54" s="94"/>
    </row>
    <row r="55" spans="2:6" x14ac:dyDescent="0.2">
      <c r="B55" s="128"/>
      <c r="C55" s="59" t="s">
        <v>83</v>
      </c>
      <c r="D55" s="64">
        <v>6461.43</v>
      </c>
      <c r="E55" s="124"/>
      <c r="F55" s="94"/>
    </row>
    <row r="56" spans="2:6" x14ac:dyDescent="0.2">
      <c r="B56" s="128"/>
      <c r="C56" s="59" t="s">
        <v>84</v>
      </c>
      <c r="D56" s="64">
        <v>8153.2</v>
      </c>
      <c r="E56" s="124"/>
      <c r="F56" s="94"/>
    </row>
    <row r="57" spans="2:6" x14ac:dyDescent="0.2">
      <c r="B57" s="128"/>
      <c r="C57" s="67" t="s">
        <v>92</v>
      </c>
      <c r="D57" s="66">
        <f>SUM(D48:D56)</f>
        <v>179852.25</v>
      </c>
      <c r="E57" s="124"/>
      <c r="F57" s="94"/>
    </row>
    <row r="58" spans="2:6" x14ac:dyDescent="0.2">
      <c r="B58" s="128"/>
      <c r="C58" s="54"/>
      <c r="D58" s="54"/>
      <c r="E58" s="125" t="s">
        <v>90</v>
      </c>
    </row>
    <row r="59" spans="2:6" x14ac:dyDescent="0.2">
      <c r="B59" s="128"/>
      <c r="C59" s="93" t="s">
        <v>94</v>
      </c>
      <c r="D59" s="93"/>
      <c r="E59" s="126"/>
    </row>
    <row r="60" spans="2:6" x14ac:dyDescent="0.2">
      <c r="B60" s="128"/>
      <c r="C60" s="59" t="s">
        <v>49</v>
      </c>
      <c r="D60" s="64">
        <v>4229.5</v>
      </c>
      <c r="E60" s="123"/>
      <c r="F60" s="94"/>
    </row>
    <row r="61" spans="2:6" x14ac:dyDescent="0.2">
      <c r="B61" s="128"/>
      <c r="C61" s="59" t="s">
        <v>48</v>
      </c>
      <c r="D61" s="64">
        <v>4230</v>
      </c>
      <c r="E61" s="124"/>
      <c r="F61" s="94"/>
    </row>
    <row r="62" spans="2:6" x14ac:dyDescent="0.2">
      <c r="B62" s="128"/>
      <c r="C62" s="63" t="s">
        <v>80</v>
      </c>
      <c r="D62" s="64">
        <v>6110.5</v>
      </c>
      <c r="E62" s="124"/>
      <c r="F62" s="94"/>
    </row>
    <row r="63" spans="2:6" x14ac:dyDescent="0.2">
      <c r="B63" s="128"/>
      <c r="C63" s="63" t="s">
        <v>81</v>
      </c>
      <c r="D63" s="64">
        <v>4230</v>
      </c>
      <c r="E63" s="124"/>
      <c r="F63" s="94" t="s">
        <v>106</v>
      </c>
    </row>
    <row r="64" spans="2:6" x14ac:dyDescent="0.2">
      <c r="B64" s="128"/>
      <c r="C64" s="59" t="s">
        <v>45</v>
      </c>
      <c r="D64" s="64">
        <v>12221</v>
      </c>
      <c r="E64" s="124"/>
      <c r="F64" s="94" t="s">
        <v>107</v>
      </c>
    </row>
    <row r="65" spans="2:6" x14ac:dyDescent="0.2">
      <c r="B65" s="128"/>
      <c r="C65" s="59" t="s">
        <v>82</v>
      </c>
      <c r="D65" s="64">
        <v>12221</v>
      </c>
      <c r="E65" s="124"/>
      <c r="F65" s="94" t="s">
        <v>108</v>
      </c>
    </row>
    <row r="66" spans="2:6" x14ac:dyDescent="0.2">
      <c r="B66" s="128"/>
      <c r="C66" s="59" t="s">
        <v>47</v>
      </c>
      <c r="D66" s="64">
        <v>4700</v>
      </c>
      <c r="E66" s="124"/>
      <c r="F66" s="94"/>
    </row>
    <row r="67" spans="2:6" x14ac:dyDescent="0.2">
      <c r="B67" s="128"/>
      <c r="C67" s="59" t="s">
        <v>83</v>
      </c>
      <c r="D67" s="64">
        <v>4230</v>
      </c>
      <c r="E67" s="124"/>
      <c r="F67" s="94"/>
    </row>
    <row r="68" spans="2:6" x14ac:dyDescent="0.2">
      <c r="B68" s="128"/>
      <c r="C68" s="59" t="s">
        <v>84</v>
      </c>
      <c r="D68" s="64">
        <v>4465</v>
      </c>
      <c r="E68" s="124"/>
      <c r="F68" s="94"/>
    </row>
    <row r="69" spans="2:6" x14ac:dyDescent="0.2">
      <c r="B69" s="128"/>
      <c r="C69" s="67" t="s">
        <v>92</v>
      </c>
      <c r="D69" s="66">
        <f>SUM(D60:D68)</f>
        <v>56637</v>
      </c>
      <c r="E69" s="124"/>
      <c r="F69" s="94"/>
    </row>
    <row r="70" spans="2:6" x14ac:dyDescent="0.2">
      <c r="B70" s="128"/>
      <c r="C70" s="54"/>
      <c r="D70" s="54"/>
      <c r="E70" s="124"/>
      <c r="F70" s="94"/>
    </row>
    <row r="71" spans="2:6" x14ac:dyDescent="0.2">
      <c r="B71" s="128"/>
      <c r="C71" s="67" t="s">
        <v>87</v>
      </c>
      <c r="D71" s="66">
        <f>SUM(D57,D69)</f>
        <v>236489.25</v>
      </c>
      <c r="E71" s="124"/>
      <c r="F71" s="94"/>
    </row>
    <row r="72" spans="2:6" x14ac:dyDescent="0.2">
      <c r="B72" s="129"/>
      <c r="C72" s="54"/>
      <c r="D72" s="54"/>
      <c r="E72" s="136"/>
      <c r="F72" s="94"/>
    </row>
    <row r="73" spans="2:6" ht="29.25" customHeight="1" x14ac:dyDescent="0.2">
      <c r="B73" s="130" t="s">
        <v>95</v>
      </c>
      <c r="C73" s="130"/>
      <c r="D73" s="130"/>
      <c r="E73" s="130"/>
    </row>
    <row r="76" spans="2:6" x14ac:dyDescent="0.2">
      <c r="B76" s="131" t="s">
        <v>88</v>
      </c>
      <c r="C76" s="131"/>
      <c r="D76" s="131"/>
      <c r="E76" s="131"/>
    </row>
    <row r="77" spans="2:6" x14ac:dyDescent="0.2">
      <c r="B77" s="135" t="s">
        <v>102</v>
      </c>
      <c r="C77" s="59" t="s">
        <v>49</v>
      </c>
      <c r="D77" s="64">
        <v>3787.88</v>
      </c>
      <c r="E77" s="137" t="s">
        <v>91</v>
      </c>
    </row>
    <row r="78" spans="2:6" x14ac:dyDescent="0.2">
      <c r="B78" s="135"/>
      <c r="C78" s="59" t="s">
        <v>48</v>
      </c>
      <c r="D78" s="64">
        <v>3948.93</v>
      </c>
      <c r="E78" s="138"/>
      <c r="F78" s="95"/>
    </row>
    <row r="79" spans="2:6" x14ac:dyDescent="0.2">
      <c r="B79" s="135"/>
      <c r="C79" s="63" t="s">
        <v>80</v>
      </c>
      <c r="D79" s="64">
        <v>3882.79</v>
      </c>
      <c r="E79" s="138"/>
      <c r="F79" s="95" t="s">
        <v>106</v>
      </c>
    </row>
    <row r="80" spans="2:6" x14ac:dyDescent="0.2">
      <c r="B80" s="135"/>
      <c r="C80" s="63" t="s">
        <v>81</v>
      </c>
      <c r="D80" s="64">
        <v>3898.93</v>
      </c>
      <c r="E80" s="138"/>
      <c r="F80" s="95" t="s">
        <v>103</v>
      </c>
    </row>
    <row r="81" spans="2:6" x14ac:dyDescent="0.2">
      <c r="B81" s="135"/>
      <c r="C81" s="59" t="s">
        <v>45</v>
      </c>
      <c r="D81" s="64">
        <v>21543.98</v>
      </c>
      <c r="E81" s="138"/>
      <c r="F81" s="95" t="s">
        <v>104</v>
      </c>
    </row>
    <row r="82" spans="2:6" x14ac:dyDescent="0.2">
      <c r="B82" s="135"/>
      <c r="C82" s="59" t="s">
        <v>82</v>
      </c>
      <c r="D82" s="64">
        <v>16211.36</v>
      </c>
      <c r="E82" s="138"/>
    </row>
    <row r="83" spans="2:6" x14ac:dyDescent="0.2">
      <c r="B83" s="135"/>
      <c r="C83" s="59" t="s">
        <v>47</v>
      </c>
      <c r="D83" s="64">
        <v>8867.93</v>
      </c>
      <c r="E83" s="138"/>
    </row>
    <row r="84" spans="2:6" x14ac:dyDescent="0.2">
      <c r="B84" s="135"/>
      <c r="C84" s="59" t="s">
        <v>83</v>
      </c>
      <c r="D84" s="64">
        <v>2430.23</v>
      </c>
      <c r="E84" s="138"/>
    </row>
    <row r="85" spans="2:6" x14ac:dyDescent="0.2">
      <c r="B85" s="135"/>
      <c r="C85" s="59" t="s">
        <v>84</v>
      </c>
      <c r="D85" s="64">
        <v>3066.57</v>
      </c>
      <c r="E85" s="138"/>
    </row>
    <row r="86" spans="2:6" x14ac:dyDescent="0.2">
      <c r="B86" s="135"/>
      <c r="C86" s="65" t="s">
        <v>87</v>
      </c>
      <c r="D86" s="66">
        <f>SUM(D77:D85)</f>
        <v>67638.600000000006</v>
      </c>
      <c r="E86" s="139"/>
    </row>
    <row r="87" spans="2:6" ht="31.5" customHeight="1" x14ac:dyDescent="0.2">
      <c r="B87" s="130" t="s">
        <v>89</v>
      </c>
      <c r="C87" s="130"/>
      <c r="D87" s="130"/>
      <c r="E87" s="130"/>
    </row>
    <row r="90" spans="2:6" ht="31.5" customHeight="1" x14ac:dyDescent="0.2">
      <c r="B90" s="135" t="s">
        <v>86</v>
      </c>
      <c r="C90" s="135"/>
      <c r="D90" s="135"/>
      <c r="E90" s="135"/>
    </row>
    <row r="91" spans="2:6" x14ac:dyDescent="0.2">
      <c r="B91" s="132" t="s">
        <v>102</v>
      </c>
      <c r="C91" s="59" t="s">
        <v>49</v>
      </c>
      <c r="D91" s="62">
        <v>10080</v>
      </c>
      <c r="E91" s="140"/>
      <c r="F91" s="95"/>
    </row>
    <row r="92" spans="2:6" x14ac:dyDescent="0.2">
      <c r="B92" s="133"/>
      <c r="C92" s="59" t="s">
        <v>48</v>
      </c>
      <c r="D92" s="62">
        <v>10498.64</v>
      </c>
      <c r="E92" s="141"/>
      <c r="F92" s="95" t="s">
        <v>106</v>
      </c>
    </row>
    <row r="93" spans="2:6" x14ac:dyDescent="0.2">
      <c r="B93" s="133"/>
      <c r="C93" s="63" t="s">
        <v>81</v>
      </c>
      <c r="D93" s="62">
        <v>10376.799999999999</v>
      </c>
      <c r="E93" s="55" t="s">
        <v>62</v>
      </c>
      <c r="F93" s="95" t="s">
        <v>105</v>
      </c>
    </row>
    <row r="94" spans="2:6" x14ac:dyDescent="0.2">
      <c r="B94" s="133"/>
      <c r="C94" s="59" t="s">
        <v>45</v>
      </c>
      <c r="D94" s="62">
        <v>57277.14</v>
      </c>
      <c r="E94" s="55" t="s">
        <v>65</v>
      </c>
      <c r="F94" s="95"/>
    </row>
    <row r="95" spans="2:6" x14ac:dyDescent="0.2">
      <c r="B95" s="133"/>
      <c r="C95" s="59" t="s">
        <v>82</v>
      </c>
      <c r="D95" s="62">
        <v>43104.93</v>
      </c>
      <c r="E95" s="55" t="s">
        <v>68</v>
      </c>
      <c r="F95" s="95"/>
    </row>
    <row r="96" spans="2:6" x14ac:dyDescent="0.2">
      <c r="B96" s="133"/>
      <c r="C96" s="59" t="s">
        <v>47</v>
      </c>
      <c r="D96" s="62">
        <v>23577.41</v>
      </c>
      <c r="E96" s="123"/>
    </row>
    <row r="97" spans="2:5" x14ac:dyDescent="0.2">
      <c r="B97" s="134"/>
      <c r="C97" s="59"/>
      <c r="E97" s="124"/>
    </row>
    <row r="98" spans="2:5" x14ac:dyDescent="0.2">
      <c r="B98" s="54"/>
      <c r="C98" s="65" t="s">
        <v>87</v>
      </c>
      <c r="D98" s="66">
        <f>SUM(D87:D96)</f>
        <v>154914.92000000001</v>
      </c>
      <c r="E98" s="136"/>
    </row>
    <row r="99" spans="2:5" ht="28.5" customHeight="1" x14ac:dyDescent="0.2">
      <c r="B99" s="130" t="s">
        <v>85</v>
      </c>
      <c r="C99" s="130"/>
      <c r="D99" s="130"/>
      <c r="E99" s="130"/>
    </row>
  </sheetData>
  <mergeCells count="29">
    <mergeCell ref="A7:F7"/>
    <mergeCell ref="B47:D47"/>
    <mergeCell ref="B39:E39"/>
    <mergeCell ref="B9:E9"/>
    <mergeCell ref="C30:C34"/>
    <mergeCell ref="B30:B34"/>
    <mergeCell ref="D30:D34"/>
    <mergeCell ref="B36:E36"/>
    <mergeCell ref="B27:E27"/>
    <mergeCell ref="B10:B24"/>
    <mergeCell ref="B29:E29"/>
    <mergeCell ref="C40:C43"/>
    <mergeCell ref="B40:B43"/>
    <mergeCell ref="B45:E45"/>
    <mergeCell ref="D40:D43"/>
    <mergeCell ref="E48:E57"/>
    <mergeCell ref="E58:E59"/>
    <mergeCell ref="B48:B72"/>
    <mergeCell ref="B99:E99"/>
    <mergeCell ref="B76:E76"/>
    <mergeCell ref="B87:E87"/>
    <mergeCell ref="B73:E73"/>
    <mergeCell ref="B91:B97"/>
    <mergeCell ref="B77:B86"/>
    <mergeCell ref="B90:E90"/>
    <mergeCell ref="E60:E72"/>
    <mergeCell ref="E77:E86"/>
    <mergeCell ref="E91:E92"/>
    <mergeCell ref="E96:E98"/>
  </mergeCells>
  <phoneticPr fontId="26" type="noConversion"/>
  <pageMargins left="0.511811024" right="0.511811024" top="0.78740157499999996" bottom="0.78740157499999996" header="0.31496062000000002" footer="0.31496062000000002"/>
  <pageSetup paperSize="9" scale="9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674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MÉDIA</vt:lpstr>
      <vt:lpstr>Composições</vt:lpstr>
      <vt:lpstr>MÉDIA!Area_de_impressao</vt:lpstr>
    </vt:vector>
  </TitlesOfParts>
  <Company>Prefeitura Municipal de Rio das Ostras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semed</dc:creator>
  <dc:description/>
  <cp:lastModifiedBy>Marcio Silva Souza</cp:lastModifiedBy>
  <cp:revision>48</cp:revision>
  <cp:lastPrinted>2026-04-20T17:39:02Z</cp:lastPrinted>
  <dcterms:created xsi:type="dcterms:W3CDTF">2002-01-17T18:34:49Z</dcterms:created>
  <dcterms:modified xsi:type="dcterms:W3CDTF">2026-05-28T14:53:53Z</dcterms:modified>
  <dc:language>pt-BR</dc:language>
</cp:coreProperties>
</file>